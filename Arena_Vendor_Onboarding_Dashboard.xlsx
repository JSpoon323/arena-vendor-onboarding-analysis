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rjw38\Downloads\Data Anylst\DA_case study_portfolio content\"/>
    </mc:Choice>
  </mc:AlternateContent>
  <xr:revisionPtr revIDLastSave="0" documentId="13_ncr:1_{CA4FD729-091B-4B6F-BE25-DD5A2C5AC7C7}" xr6:coauthVersionLast="47" xr6:coauthVersionMax="47" xr10:uidLastSave="{00000000-0000-0000-0000-000000000000}"/>
  <workbookProtection workbookAlgorithmName="SHA-512" workbookHashValue="Sa7uE1O0GJAENowQRA00/W1O6W+khlBL4Z0Tkh103yjG0fKpyuvyVL401VPgzFKeBDSOVO7nUYmlNL8GJEYT3Q==" workbookSaltValue="gLbu8XSrvDD3jYhUFoHKkw==" workbookSpinCount="100000" lockStructure="1"/>
  <bookViews>
    <workbookView xWindow="-16620" yWindow="-16155" windowWidth="27465" windowHeight="16140" tabRatio="811" xr2:uid="{00000000-000D-0000-FFFF-FFFF00000000}"/>
  </bookViews>
  <sheets>
    <sheet name="KPI Dashboard" sheetId="13" r:id="rId1"/>
    <sheet name="Pivot Tab" sheetId="16" r:id="rId2"/>
    <sheet name="Dash Support Sheet" sheetId="2" r:id="rId3"/>
    <sheet name="Assignments" sheetId="1" r:id="rId4"/>
    <sheet name="Sheet9" sheetId="11" state="hidden" r:id="rId5"/>
    <sheet name="Marisol Reyes" sheetId="3" r:id="rId6"/>
    <sheet name="Trevor Nguyen" sheetId="12" r:id="rId7"/>
    <sheet name="Priya Kapoor" sheetId="5" r:id="rId8"/>
    <sheet name="Damon Fields" sheetId="6" r:id="rId9"/>
    <sheet name="Yuki Tanaka" sheetId="7" r:id="rId10"/>
    <sheet name="Andre Boseman" sheetId="8" r:id="rId11"/>
    <sheet name="Hannah Whitlock" sheetId="9" r:id="rId12"/>
  </sheets>
  <externalReferences>
    <externalReference r:id="rId13"/>
  </externalReferences>
  <calcPr calcId="191029"/>
  <pivotCaches>
    <pivotCache cacheId="0"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 i="2" l="1" a="1"/>
  <c r="AA2" i="2" a="1"/>
  <c r="A78" i="2" a="1"/>
  <c r="B22" i="2"/>
  <c r="B21" i="2"/>
  <c r="B20" i="2"/>
  <c r="B19" i="2"/>
  <c r="B18" i="2"/>
  <c r="B17" i="2"/>
  <c r="B16" i="2"/>
  <c r="E35" i="16"/>
  <c r="E23" i="16"/>
  <c r="J48" i="2"/>
  <c r="I48" i="2"/>
  <c r="G48" i="2"/>
  <c r="F48" i="2"/>
  <c r="E48" i="2"/>
  <c r="D48" i="2"/>
  <c r="C48" i="2"/>
  <c r="H48" i="2" s="1"/>
  <c r="B48" i="2"/>
  <c r="J47" i="2"/>
  <c r="I47" i="2"/>
  <c r="G47" i="2"/>
  <c r="F47" i="2"/>
  <c r="E47" i="2"/>
  <c r="D47" i="2"/>
  <c r="C47" i="2"/>
  <c r="H47" i="2" s="1"/>
  <c r="B47" i="2"/>
  <c r="J46" i="2"/>
  <c r="I46" i="2"/>
  <c r="G46" i="2"/>
  <c r="F46" i="2"/>
  <c r="E46" i="2"/>
  <c r="D46" i="2"/>
  <c r="C46" i="2"/>
  <c r="H46" i="2" s="1"/>
  <c r="B46" i="2"/>
  <c r="J45" i="2"/>
  <c r="I45" i="2"/>
  <c r="G45" i="2"/>
  <c r="F45" i="2"/>
  <c r="E45" i="2"/>
  <c r="D45" i="2"/>
  <c r="C45" i="2"/>
  <c r="H45" i="2" s="1"/>
  <c r="B45" i="2"/>
  <c r="J44" i="2"/>
  <c r="I44" i="2"/>
  <c r="G44" i="2"/>
  <c r="F44" i="2"/>
  <c r="E44" i="2"/>
  <c r="D44" i="2"/>
  <c r="C44" i="2"/>
  <c r="H44" i="2" s="1"/>
  <c r="B44" i="2"/>
  <c r="J43" i="2"/>
  <c r="I43" i="2"/>
  <c r="G43" i="2"/>
  <c r="F43" i="2"/>
  <c r="E43" i="2"/>
  <c r="D43" i="2"/>
  <c r="C43" i="2"/>
  <c r="H43" i="2" s="1"/>
  <c r="B43" i="2"/>
  <c r="J42" i="2"/>
  <c r="I42" i="2"/>
  <c r="G42" i="2"/>
  <c r="F42" i="2"/>
  <c r="E42" i="2"/>
  <c r="D42" i="2"/>
  <c r="C42" i="2"/>
  <c r="H42" i="2" s="1"/>
  <c r="B42" i="2"/>
  <c r="J32" i="2"/>
  <c r="J33" i="2"/>
  <c r="J34" i="2"/>
  <c r="J35" i="2"/>
  <c r="J36" i="2"/>
  <c r="J37" i="2"/>
  <c r="I32" i="2"/>
  <c r="I33" i="2"/>
  <c r="I34" i="2"/>
  <c r="I35" i="2"/>
  <c r="I36" i="2"/>
  <c r="I37" i="2"/>
  <c r="G32" i="2"/>
  <c r="G33" i="2"/>
  <c r="G34" i="2"/>
  <c r="G35" i="2"/>
  <c r="G36" i="2"/>
  <c r="G37" i="2"/>
  <c r="F32" i="2"/>
  <c r="F33" i="2"/>
  <c r="F34" i="2"/>
  <c r="F35" i="2"/>
  <c r="F36" i="2"/>
  <c r="F37" i="2"/>
  <c r="E32" i="2"/>
  <c r="E33" i="2"/>
  <c r="E34" i="2"/>
  <c r="E35" i="2"/>
  <c r="E36" i="2"/>
  <c r="E37" i="2"/>
  <c r="D32" i="2"/>
  <c r="D33" i="2"/>
  <c r="D34" i="2"/>
  <c r="D35" i="2"/>
  <c r="D36" i="2"/>
  <c r="D37" i="2"/>
  <c r="C32" i="2"/>
  <c r="H32" i="2" s="1"/>
  <c r="C33" i="2"/>
  <c r="H33" i="2" s="1"/>
  <c r="C34" i="2"/>
  <c r="H34" i="2" s="1"/>
  <c r="C35" i="2"/>
  <c r="H35" i="2" s="1"/>
  <c r="C36" i="2"/>
  <c r="H36" i="2" s="1"/>
  <c r="C37" i="2"/>
  <c r="H37" i="2" s="1"/>
  <c r="B32" i="2"/>
  <c r="B33" i="2"/>
  <c r="B34" i="2"/>
  <c r="B35" i="2"/>
  <c r="B36" i="2"/>
  <c r="B37" i="2"/>
  <c r="C31" i="2"/>
  <c r="J31" i="2"/>
  <c r="J38" i="2" s="1"/>
  <c r="I31" i="2"/>
  <c r="I38" i="2" s="1"/>
  <c r="G31" i="2"/>
  <c r="G38" i="2" s="1"/>
  <c r="B56" i="2" s="1"/>
  <c r="F31" i="2"/>
  <c r="F38" i="2" s="1"/>
  <c r="B55" i="2" s="1"/>
  <c r="E31" i="2"/>
  <c r="E38" i="2" s="1"/>
  <c r="B54" i="2" s="1"/>
  <c r="D31" i="2"/>
  <c r="D38" i="2" s="1"/>
  <c r="B53" i="2" s="1"/>
  <c r="B31" i="2"/>
  <c r="B38" i="2" s="1"/>
  <c r="K57" i="12"/>
  <c r="K56" i="12"/>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6" i="12"/>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6" i="3"/>
  <c r="L18" i="1" a="1"/>
  <c r="L19" i="1" a="1"/>
  <c r="L20" i="1" a="1"/>
  <c r="L21" i="1" a="1"/>
  <c r="L22" i="1" a="1"/>
  <c r="L23" i="1" a="1"/>
  <c r="L24" i="1" a="1"/>
  <c r="L25" i="1" a="1"/>
  <c r="L26" i="1" a="1"/>
  <c r="L27" i="1" a="1"/>
  <c r="L28" i="1" a="1"/>
  <c r="L29" i="1" a="1"/>
  <c r="L30" i="1" a="1"/>
  <c r="L31" i="1" a="1"/>
  <c r="L32" i="1" a="1"/>
  <c r="L33" i="1" a="1"/>
  <c r="L34" i="1" a="1"/>
  <c r="L35" i="1" a="1"/>
  <c r="L36" i="1" a="1"/>
  <c r="L37" i="1" a="1"/>
  <c r="L38" i="1" a="1"/>
  <c r="L39" i="1" a="1"/>
  <c r="L40" i="1" a="1"/>
  <c r="L41" i="1" a="1"/>
  <c r="L42" i="1" a="1"/>
  <c r="L43" i="1" a="1"/>
  <c r="L44" i="1" a="1"/>
  <c r="L45" i="1" a="1"/>
  <c r="L46" i="1" a="1"/>
  <c r="L47" i="1" a="1"/>
  <c r="L48" i="1" a="1"/>
  <c r="L49" i="1" a="1"/>
  <c r="L50" i="1" a="1"/>
  <c r="L51" i="1" a="1"/>
  <c r="L52" i="1" a="1"/>
  <c r="L53" i="1" a="1"/>
  <c r="L54" i="1" a="1"/>
  <c r="L55" i="1" a="1"/>
  <c r="L56" i="1" a="1"/>
  <c r="L57" i="1" a="1"/>
  <c r="L58" i="1" a="1"/>
  <c r="L59" i="1" a="1"/>
  <c r="L60" i="1" a="1"/>
  <c r="L61" i="1" a="1"/>
  <c r="L62" i="1" a="1"/>
  <c r="L63" i="1" a="1"/>
  <c r="L64" i="1" a="1"/>
  <c r="L65" i="1" a="1"/>
  <c r="L66" i="1" a="1"/>
  <c r="L67" i="1" a="1"/>
  <c r="L68" i="1" a="1"/>
  <c r="L69" i="1" a="1"/>
  <c r="L70" i="1" a="1"/>
  <c r="L72" i="1" a="1"/>
  <c r="L110" i="1" a="1"/>
  <c r="L118" i="1" a="1"/>
  <c r="L124" i="1" a="1"/>
  <c r="L125" i="1" a="1"/>
  <c r="L126" i="1" a="1"/>
  <c r="L127" i="1" a="1"/>
  <c r="L128" i="1" a="1"/>
  <c r="L129" i="1" a="1"/>
  <c r="L130" i="1" a="1"/>
  <c r="L131" i="1" a="1"/>
  <c r="L132" i="1" a="1"/>
  <c r="L133" i="1" a="1"/>
  <c r="L134" i="1" a="1"/>
  <c r="L135" i="1" a="1"/>
  <c r="L136" i="1" a="1"/>
  <c r="L137" i="1" a="1"/>
  <c r="L138" i="1" a="1"/>
  <c r="L139" i="1" a="1"/>
  <c r="L140" i="1" a="1"/>
  <c r="L141" i="1" a="1"/>
  <c r="L142" i="1" a="1"/>
  <c r="L143" i="1" a="1"/>
  <c r="L144" i="1" a="1"/>
  <c r="L145" i="1" a="1"/>
  <c r="L146" i="1" a="1"/>
  <c r="L147" i="1" a="1"/>
  <c r="L148" i="1" a="1"/>
  <c r="L149" i="1" a="1"/>
  <c r="L150" i="1" a="1"/>
  <c r="L151" i="1" a="1"/>
  <c r="L152" i="1" a="1"/>
  <c r="L153" i="1" a="1"/>
  <c r="L154" i="1" a="1"/>
  <c r="L155" i="1" a="1"/>
  <c r="L156" i="1" a="1"/>
  <c r="L157" i="1" a="1"/>
  <c r="L158" i="1" a="1"/>
  <c r="L159" i="1" a="1"/>
  <c r="L160" i="1" a="1"/>
  <c r="L161" i="1" a="1"/>
  <c r="L162" i="1" a="1"/>
  <c r="L163" i="1" a="1"/>
  <c r="L164" i="1" a="1"/>
  <c r="L165" i="1" a="1"/>
  <c r="L166" i="1" a="1"/>
  <c r="L167" i="1" a="1"/>
  <c r="L168" i="1" a="1"/>
  <c r="L169" i="1" a="1"/>
  <c r="L170" i="1" a="1"/>
  <c r="L171" i="1" a="1"/>
  <c r="L172" i="1" a="1"/>
  <c r="L173" i="1" a="1"/>
  <c r="L174" i="1" a="1"/>
  <c r="L175" i="1" a="1"/>
  <c r="L176" i="1" a="1"/>
  <c r="L177" i="1" a="1"/>
  <c r="L178" i="1" a="1"/>
  <c r="L179" i="1" a="1"/>
  <c r="L180" i="1" a="1"/>
  <c r="L181" i="1" a="1"/>
  <c r="L182" i="1" a="1"/>
  <c r="L183" i="1" a="1"/>
  <c r="L184" i="1" a="1"/>
  <c r="L185" i="1" a="1"/>
  <c r="L186" i="1" a="1"/>
  <c r="L187" i="1" a="1"/>
  <c r="L188" i="1" a="1"/>
  <c r="L189" i="1" a="1"/>
  <c r="L190" i="1" a="1"/>
  <c r="L191" i="1" a="1"/>
  <c r="L192" i="1" a="1"/>
  <c r="L193" i="1" a="1"/>
  <c r="L194" i="1" a="1"/>
  <c r="L195" i="1" a="1"/>
  <c r="L196" i="1" a="1"/>
  <c r="L197" i="1" a="1"/>
  <c r="L198" i="1" a="1"/>
  <c r="L199" i="1" a="1"/>
  <c r="L200" i="1" a="1"/>
  <c r="L201" i="1" a="1"/>
  <c r="L202" i="1" a="1"/>
  <c r="L203" i="1" a="1"/>
  <c r="L204" i="1" a="1"/>
  <c r="L205" i="1" a="1"/>
  <c r="L206" i="1" a="1"/>
  <c r="L207" i="1" a="1"/>
  <c r="L208" i="1" a="1"/>
  <c r="L209" i="1" a="1"/>
  <c r="L210" i="1" a="1"/>
  <c r="L211" i="1" a="1"/>
  <c r="L212" i="1" a="1"/>
  <c r="L213" i="1" a="1"/>
  <c r="L214" i="1" a="1"/>
  <c r="L215" i="1" a="1"/>
  <c r="L216" i="1" a="1"/>
  <c r="L217" i="1" a="1"/>
  <c r="L218" i="1" a="1"/>
  <c r="L219" i="1" a="1"/>
  <c r="L220" i="1" a="1"/>
  <c r="L221" i="1" a="1"/>
  <c r="L222" i="1" a="1"/>
  <c r="L223" i="1" a="1"/>
  <c r="L224" i="1" a="1"/>
  <c r="L225" i="1" a="1"/>
  <c r="L226" i="1" a="1"/>
  <c r="L227" i="1" a="1"/>
  <c r="L228" i="1" a="1"/>
  <c r="L229" i="1" a="1"/>
  <c r="L230" i="1" a="1"/>
  <c r="L231" i="1" a="1"/>
  <c r="L232" i="1" a="1"/>
  <c r="L233" i="1" a="1"/>
  <c r="L234" i="1" a="1"/>
  <c r="L235" i="1" a="1"/>
  <c r="L236" i="1" a="1"/>
  <c r="L237" i="1" a="1"/>
  <c r="L238" i="1" a="1"/>
  <c r="L239" i="1" a="1"/>
  <c r="L240" i="1" a="1"/>
  <c r="L241" i="1" a="1"/>
  <c r="L242" i="1" a="1"/>
  <c r="L243" i="1" a="1"/>
  <c r="L244" i="1" a="1"/>
  <c r="L245" i="1" a="1"/>
  <c r="L246" i="1" a="1"/>
  <c r="L247" i="1" a="1"/>
  <c r="L248" i="1" a="1"/>
  <c r="L249" i="1" a="1"/>
  <c r="L250" i="1" a="1"/>
  <c r="L251" i="1" a="1"/>
  <c r="L252" i="1" a="1"/>
  <c r="L253" i="1" a="1"/>
  <c r="L254" i="1" a="1"/>
  <c r="L255" i="1" a="1"/>
  <c r="L256" i="1" a="1"/>
  <c r="L257" i="1" a="1"/>
  <c r="L258" i="1" a="1"/>
  <c r="L259" i="1" a="1"/>
  <c r="L260" i="1" a="1"/>
  <c r="L261" i="1" a="1"/>
  <c r="L262" i="1" a="1"/>
  <c r="L263" i="1" a="1"/>
  <c r="L264" i="1" a="1"/>
  <c r="L265" i="1" a="1"/>
  <c r="L266" i="1" a="1"/>
  <c r="L267" i="1" a="1"/>
  <c r="L268" i="1" a="1"/>
  <c r="L269" i="1" a="1"/>
  <c r="L270" i="1" a="1"/>
  <c r="L271" i="1" a="1"/>
  <c r="L272" i="1" a="1"/>
  <c r="L273" i="1" a="1"/>
  <c r="L274" i="1" a="1"/>
  <c r="L275" i="1" a="1"/>
  <c r="L276" i="1" a="1"/>
  <c r="L277" i="1" a="1"/>
  <c r="L278" i="1" a="1"/>
  <c r="L279" i="1" a="1"/>
  <c r="L280" i="1" a="1"/>
  <c r="L281" i="1" a="1"/>
  <c r="L282" i="1" a="1"/>
  <c r="L283" i="1" a="1"/>
  <c r="L284" i="1" a="1"/>
  <c r="L285" i="1" a="1"/>
  <c r="L286" i="1" a="1"/>
  <c r="L287" i="1" a="1"/>
  <c r="L288" i="1" a="1"/>
  <c r="L289" i="1" a="1"/>
  <c r="L290" i="1" a="1"/>
  <c r="L291" i="1" a="1"/>
  <c r="L292" i="1" a="1"/>
  <c r="L293" i="1" a="1"/>
  <c r="L294" i="1" a="1"/>
  <c r="L295" i="1" a="1"/>
  <c r="L296" i="1" a="1"/>
  <c r="L297" i="1" a="1"/>
  <c r="L298" i="1" a="1"/>
  <c r="L299" i="1" a="1"/>
  <c r="L300" i="1" a="1"/>
  <c r="L301" i="1" a="1"/>
  <c r="L302" i="1" a="1"/>
  <c r="L303" i="1" a="1"/>
  <c r="L304" i="1" a="1"/>
  <c r="L305" i="1" a="1"/>
  <c r="L306" i="1" a="1"/>
  <c r="L307" i="1" a="1"/>
  <c r="L308" i="1" a="1"/>
  <c r="L309" i="1" a="1"/>
  <c r="L310" i="1" a="1"/>
  <c r="L311" i="1" a="1"/>
  <c r="L312" i="1" a="1"/>
  <c r="L313" i="1" a="1"/>
  <c r="L314" i="1" a="1"/>
  <c r="L315" i="1" a="1"/>
  <c r="L316" i="1" a="1"/>
  <c r="L317" i="1" a="1"/>
  <c r="L318" i="1" a="1"/>
  <c r="L319" i="1" a="1"/>
  <c r="L320" i="1" a="1"/>
  <c r="L321" i="1" a="1"/>
  <c r="L322" i="1" a="1"/>
  <c r="L323" i="1" a="1"/>
  <c r="L324" i="1" a="1"/>
  <c r="L325" i="1" a="1"/>
  <c r="L326" i="1" a="1"/>
  <c r="L327" i="1" a="1"/>
  <c r="L328" i="1" a="1"/>
  <c r="L329" i="1" a="1"/>
  <c r="L330" i="1" a="1"/>
  <c r="L331" i="1" a="1"/>
  <c r="L332" i="1" a="1"/>
  <c r="L333" i="1" a="1"/>
  <c r="L334" i="1" a="1"/>
  <c r="L335" i="1" a="1"/>
  <c r="L336" i="1" a="1"/>
  <c r="L337" i="1" a="1"/>
  <c r="L338" i="1" a="1"/>
  <c r="L339" i="1" a="1"/>
  <c r="L340" i="1" a="1"/>
  <c r="L341" i="1" a="1"/>
  <c r="L342" i="1" a="1"/>
  <c r="L343" i="1" a="1"/>
  <c r="L344" i="1" a="1"/>
  <c r="L345" i="1" a="1"/>
  <c r="L346" i="1" a="1"/>
  <c r="L347" i="1" a="1"/>
  <c r="L348" i="1" a="1"/>
  <c r="L349" i="1" a="1"/>
  <c r="L350" i="1" a="1"/>
  <c r="L351" i="1" a="1"/>
  <c r="L352" i="1" a="1"/>
  <c r="L353" i="1" a="1"/>
  <c r="L354" i="1" a="1"/>
  <c r="L355" i="1" a="1"/>
  <c r="L356" i="1" a="1"/>
  <c r="L357" i="1" a="1"/>
  <c r="L358" i="1" a="1"/>
  <c r="L359" i="1" a="1"/>
  <c r="L360" i="1" a="1"/>
  <c r="L361" i="1" a="1"/>
  <c r="L362" i="1" a="1"/>
  <c r="L363" i="1" a="1"/>
  <c r="L364" i="1" a="1"/>
  <c r="L365" i="1" a="1"/>
  <c r="L366" i="1" a="1"/>
  <c r="L367" i="1" a="1"/>
  <c r="L368" i="1" a="1"/>
  <c r="L369" i="1" a="1"/>
  <c r="L370" i="1" a="1"/>
  <c r="L371" i="1" a="1"/>
  <c r="L372" i="1" a="1"/>
  <c r="L373" i="1" a="1"/>
  <c r="L374" i="1" a="1"/>
  <c r="L375" i="1" a="1"/>
  <c r="L376" i="1" a="1"/>
  <c r="L377" i="1" a="1"/>
  <c r="L378" i="1" a="1"/>
  <c r="L379" i="1" a="1"/>
  <c r="L380" i="1" a="1"/>
  <c r="L381" i="1" a="1"/>
  <c r="L382" i="1" a="1"/>
  <c r="L383" i="1" a="1"/>
  <c r="L384" i="1" a="1"/>
  <c r="L385" i="1" a="1"/>
  <c r="L386" i="1" a="1"/>
  <c r="L387" i="1" a="1"/>
  <c r="J18" i="1" a="1"/>
  <c r="J19" i="1" a="1"/>
  <c r="J20" i="1" a="1"/>
  <c r="J21" i="1" a="1"/>
  <c r="J22" i="1" a="1"/>
  <c r="J23" i="1" a="1"/>
  <c r="J24" i="1" a="1"/>
  <c r="J25" i="1" a="1"/>
  <c r="J26" i="1" a="1"/>
  <c r="J27" i="1" a="1"/>
  <c r="J28" i="1" a="1"/>
  <c r="J29" i="1" a="1"/>
  <c r="J30" i="1" a="1"/>
  <c r="J31" i="1" a="1"/>
  <c r="J32" i="1" a="1"/>
  <c r="J33" i="1" a="1"/>
  <c r="J34" i="1" a="1"/>
  <c r="J35" i="1" a="1"/>
  <c r="J36" i="1" a="1"/>
  <c r="J37" i="1" a="1"/>
  <c r="J38" i="1" a="1"/>
  <c r="J39" i="1" a="1"/>
  <c r="J40" i="1" a="1"/>
  <c r="J41" i="1" a="1"/>
  <c r="J42" i="1" a="1"/>
  <c r="J43" i="1" a="1"/>
  <c r="J44" i="1" a="1"/>
  <c r="J45" i="1" a="1"/>
  <c r="J46" i="1" a="1"/>
  <c r="J47" i="1" a="1"/>
  <c r="J48" i="1" a="1"/>
  <c r="J49" i="1" a="1"/>
  <c r="J50" i="1" a="1"/>
  <c r="J51" i="1" a="1"/>
  <c r="J52" i="1" a="1"/>
  <c r="J53" i="1" a="1"/>
  <c r="J54" i="1" a="1"/>
  <c r="J55" i="1" a="1"/>
  <c r="J56" i="1" a="1"/>
  <c r="J57" i="1" a="1"/>
  <c r="J58" i="1" a="1"/>
  <c r="J59" i="1" a="1"/>
  <c r="J60" i="1" a="1"/>
  <c r="J61" i="1" a="1"/>
  <c r="J62" i="1" a="1"/>
  <c r="J63" i="1" a="1"/>
  <c r="J64" i="1" a="1"/>
  <c r="J65" i="1" a="1"/>
  <c r="J66" i="1" a="1"/>
  <c r="J67" i="1" a="1"/>
  <c r="J68" i="1" a="1"/>
  <c r="J69" i="1" a="1"/>
  <c r="J70" i="1" a="1"/>
  <c r="J71" i="1" a="1"/>
  <c r="J72" i="1" a="1"/>
  <c r="J73" i="1" a="1"/>
  <c r="J74" i="1" a="1"/>
  <c r="J75" i="1" a="1"/>
  <c r="J76" i="1" a="1"/>
  <c r="J77" i="1" a="1"/>
  <c r="J78" i="1" a="1"/>
  <c r="J79" i="1" a="1"/>
  <c r="J80" i="1" a="1"/>
  <c r="J81" i="1" a="1"/>
  <c r="J82" i="1" a="1"/>
  <c r="J83" i="1" a="1"/>
  <c r="J84" i="1" a="1"/>
  <c r="J85" i="1" a="1"/>
  <c r="J86" i="1" a="1"/>
  <c r="J87" i="1" a="1"/>
  <c r="J88" i="1" a="1"/>
  <c r="J89" i="1" a="1"/>
  <c r="J90" i="1" a="1"/>
  <c r="J91" i="1" a="1"/>
  <c r="J92" i="1" a="1"/>
  <c r="J93" i="1" a="1"/>
  <c r="J94" i="1" a="1"/>
  <c r="J95" i="1" a="1"/>
  <c r="J96" i="1" a="1"/>
  <c r="J97" i="1" a="1"/>
  <c r="J98" i="1" a="1"/>
  <c r="J99" i="1" a="1"/>
  <c r="J100" i="1" a="1"/>
  <c r="J101" i="1" a="1"/>
  <c r="J102" i="1" a="1"/>
  <c r="J103" i="1" a="1"/>
  <c r="J104" i="1" a="1"/>
  <c r="J105" i="1" a="1"/>
  <c r="J106" i="1" a="1"/>
  <c r="J107" i="1" a="1"/>
  <c r="J108" i="1" a="1"/>
  <c r="J109" i="1" a="1"/>
  <c r="J110" i="1" a="1"/>
  <c r="J111" i="1" a="1"/>
  <c r="J112" i="1" a="1"/>
  <c r="J113" i="1" a="1"/>
  <c r="J114" i="1" a="1"/>
  <c r="J115" i="1" a="1"/>
  <c r="J116" i="1" a="1"/>
  <c r="J117" i="1" a="1"/>
  <c r="J118" i="1" a="1"/>
  <c r="J119" i="1" a="1"/>
  <c r="J120" i="1" a="1"/>
  <c r="J121" i="1" a="1"/>
  <c r="J122" i="1" a="1"/>
  <c r="J123" i="1" a="1"/>
  <c r="J124" i="1" a="1"/>
  <c r="J125" i="1" a="1"/>
  <c r="J126" i="1" a="1"/>
  <c r="J127" i="1" a="1"/>
  <c r="J128" i="1" a="1"/>
  <c r="J129" i="1" a="1"/>
  <c r="J130" i="1" a="1"/>
  <c r="J131" i="1" a="1"/>
  <c r="J132" i="1" a="1"/>
  <c r="J133" i="1" a="1"/>
  <c r="J134" i="1" a="1"/>
  <c r="J135" i="1" a="1"/>
  <c r="J136" i="1" a="1"/>
  <c r="J137" i="1" a="1"/>
  <c r="J138" i="1" a="1"/>
  <c r="J139" i="1" a="1"/>
  <c r="J140" i="1" a="1"/>
  <c r="J141" i="1" a="1"/>
  <c r="J142" i="1" a="1"/>
  <c r="J143" i="1" a="1"/>
  <c r="J144" i="1" a="1"/>
  <c r="J145" i="1" a="1"/>
  <c r="J146" i="1" a="1"/>
  <c r="J147" i="1" a="1"/>
  <c r="J148" i="1" a="1"/>
  <c r="J149" i="1" a="1"/>
  <c r="J150" i="1" a="1"/>
  <c r="J151" i="1" a="1"/>
  <c r="J152" i="1" a="1"/>
  <c r="J153" i="1" a="1"/>
  <c r="J154" i="1" a="1"/>
  <c r="J155" i="1" a="1"/>
  <c r="J156" i="1" a="1"/>
  <c r="J157" i="1" a="1"/>
  <c r="J158" i="1" a="1"/>
  <c r="J159" i="1" a="1"/>
  <c r="J160" i="1" a="1"/>
  <c r="J161" i="1" a="1"/>
  <c r="J162" i="1" a="1"/>
  <c r="J163" i="1" a="1"/>
  <c r="J164" i="1" a="1"/>
  <c r="J165" i="1" a="1"/>
  <c r="J166" i="1" a="1"/>
  <c r="J167" i="1" a="1"/>
  <c r="J168" i="1" a="1"/>
  <c r="J169" i="1" a="1"/>
  <c r="J170" i="1" a="1"/>
  <c r="J171" i="1" a="1"/>
  <c r="J172" i="1" a="1"/>
  <c r="J173" i="1" a="1"/>
  <c r="J174" i="1" a="1"/>
  <c r="J175" i="1" a="1"/>
  <c r="J176" i="1" a="1"/>
  <c r="J177" i="1" a="1"/>
  <c r="J178" i="1" a="1"/>
  <c r="J179" i="1" a="1"/>
  <c r="J180" i="1" a="1"/>
  <c r="J181" i="1" a="1"/>
  <c r="J182" i="1" a="1"/>
  <c r="J183" i="1" a="1"/>
  <c r="J184" i="1" a="1"/>
  <c r="J185" i="1" a="1"/>
  <c r="J186" i="1" a="1"/>
  <c r="J187" i="1" a="1"/>
  <c r="J188" i="1" a="1"/>
  <c r="J189" i="1" a="1"/>
  <c r="J190" i="1" a="1"/>
  <c r="J191" i="1" a="1"/>
  <c r="J192" i="1" a="1"/>
  <c r="J193" i="1" a="1"/>
  <c r="J194" i="1" a="1"/>
  <c r="J195" i="1" a="1"/>
  <c r="J196" i="1" a="1"/>
  <c r="J197" i="1" a="1"/>
  <c r="J198" i="1" a="1"/>
  <c r="J199" i="1" a="1"/>
  <c r="J200" i="1" a="1"/>
  <c r="J201" i="1" a="1"/>
  <c r="J202" i="1" a="1"/>
  <c r="J203" i="1" a="1"/>
  <c r="J204" i="1" a="1"/>
  <c r="J205" i="1" a="1"/>
  <c r="J206" i="1" a="1"/>
  <c r="J207" i="1" a="1"/>
  <c r="J208" i="1" a="1"/>
  <c r="J209" i="1" a="1"/>
  <c r="J210" i="1" a="1"/>
  <c r="J211" i="1" a="1"/>
  <c r="J212" i="1" a="1"/>
  <c r="J213" i="1" a="1"/>
  <c r="J214" i="1" a="1"/>
  <c r="J215" i="1" a="1"/>
  <c r="J216" i="1" a="1"/>
  <c r="J217" i="1" a="1"/>
  <c r="J218" i="1" a="1"/>
  <c r="J219" i="1" a="1"/>
  <c r="J220" i="1" a="1"/>
  <c r="J221" i="1" a="1"/>
  <c r="J222" i="1" a="1"/>
  <c r="J223" i="1" a="1"/>
  <c r="J224" i="1" a="1"/>
  <c r="J225" i="1" a="1"/>
  <c r="J226" i="1" a="1"/>
  <c r="J227" i="1" a="1"/>
  <c r="J228" i="1" a="1"/>
  <c r="J229" i="1" a="1"/>
  <c r="J230" i="1" a="1"/>
  <c r="J231" i="1" a="1"/>
  <c r="J232" i="1" a="1"/>
  <c r="J233" i="1" a="1"/>
  <c r="J234" i="1" a="1"/>
  <c r="J235" i="1" a="1"/>
  <c r="J236" i="1" a="1"/>
  <c r="J237" i="1" a="1"/>
  <c r="J238" i="1" a="1"/>
  <c r="J239" i="1" a="1"/>
  <c r="J240" i="1" a="1"/>
  <c r="J241" i="1" a="1"/>
  <c r="J242" i="1" a="1"/>
  <c r="J243" i="1" a="1"/>
  <c r="J244" i="1" a="1"/>
  <c r="J245" i="1" a="1"/>
  <c r="J246" i="1" a="1"/>
  <c r="J247" i="1" a="1"/>
  <c r="J248" i="1" a="1"/>
  <c r="J249" i="1" a="1"/>
  <c r="J250" i="1" a="1"/>
  <c r="J251" i="1" a="1"/>
  <c r="J252" i="1" a="1"/>
  <c r="J253" i="1" a="1"/>
  <c r="J254" i="1" a="1"/>
  <c r="J255" i="1" a="1"/>
  <c r="J256" i="1" a="1"/>
  <c r="J257" i="1" a="1"/>
  <c r="J258" i="1" a="1"/>
  <c r="J259" i="1" a="1"/>
  <c r="J260" i="1" a="1"/>
  <c r="J261" i="1" a="1"/>
  <c r="J262" i="1" a="1"/>
  <c r="J263" i="1" a="1"/>
  <c r="J264" i="1" a="1"/>
  <c r="J265" i="1" a="1"/>
  <c r="J266" i="1" a="1"/>
  <c r="J267" i="1" a="1"/>
  <c r="J268" i="1" a="1"/>
  <c r="J269" i="1" a="1"/>
  <c r="J270" i="1" a="1"/>
  <c r="J271" i="1" a="1"/>
  <c r="J272" i="1" a="1"/>
  <c r="J273" i="1" a="1"/>
  <c r="J274" i="1" a="1"/>
  <c r="J275" i="1" a="1"/>
  <c r="J276" i="1" a="1"/>
  <c r="J277" i="1" a="1"/>
  <c r="J278" i="1" a="1"/>
  <c r="J279" i="1" a="1"/>
  <c r="J280" i="1" a="1"/>
  <c r="J281" i="1" a="1"/>
  <c r="J282" i="1" a="1"/>
  <c r="J283" i="1" a="1"/>
  <c r="J284" i="1" a="1"/>
  <c r="J285" i="1" a="1"/>
  <c r="J286" i="1" a="1"/>
  <c r="J287" i="1" a="1"/>
  <c r="J288" i="1" a="1"/>
  <c r="J289" i="1" a="1"/>
  <c r="J290" i="1" a="1"/>
  <c r="J291" i="1" a="1"/>
  <c r="J292" i="1" a="1"/>
  <c r="J293" i="1" a="1"/>
  <c r="J294" i="1" a="1"/>
  <c r="J295" i="1" a="1"/>
  <c r="J296" i="1" a="1"/>
  <c r="J297" i="1" a="1"/>
  <c r="J298" i="1" a="1"/>
  <c r="J299" i="1" a="1"/>
  <c r="J300" i="1" a="1"/>
  <c r="J301" i="1" a="1"/>
  <c r="J302" i="1" a="1"/>
  <c r="J303" i="1" a="1"/>
  <c r="J304" i="1" a="1"/>
  <c r="J305" i="1" a="1"/>
  <c r="J306" i="1" a="1"/>
  <c r="J307" i="1" a="1"/>
  <c r="J308" i="1" a="1"/>
  <c r="J309" i="1" a="1"/>
  <c r="J310" i="1" a="1"/>
  <c r="J311" i="1" a="1"/>
  <c r="J312" i="1" a="1"/>
  <c r="J313" i="1" a="1"/>
  <c r="J314" i="1" a="1"/>
  <c r="J315" i="1" a="1"/>
  <c r="J316" i="1" a="1"/>
  <c r="J317" i="1" a="1"/>
  <c r="J318" i="1" a="1"/>
  <c r="J319" i="1" a="1"/>
  <c r="J320" i="1" a="1"/>
  <c r="J321" i="1" a="1"/>
  <c r="J322" i="1" a="1"/>
  <c r="J323" i="1" a="1"/>
  <c r="J324" i="1" a="1"/>
  <c r="J325" i="1" a="1"/>
  <c r="J326" i="1" a="1"/>
  <c r="J327" i="1" a="1"/>
  <c r="J328" i="1" a="1"/>
  <c r="J329" i="1" a="1"/>
  <c r="J330" i="1" a="1"/>
  <c r="J331" i="1" a="1"/>
  <c r="J332" i="1" a="1"/>
  <c r="J333" i="1" a="1"/>
  <c r="J334" i="1" a="1"/>
  <c r="J335" i="1" a="1"/>
  <c r="J336" i="1" a="1"/>
  <c r="J337" i="1" a="1"/>
  <c r="J338" i="1" a="1"/>
  <c r="J339" i="1" a="1"/>
  <c r="J340" i="1" a="1"/>
  <c r="J341" i="1" a="1"/>
  <c r="J342" i="1" a="1"/>
  <c r="J343" i="1" a="1"/>
  <c r="J344" i="1" a="1"/>
  <c r="J345" i="1" a="1"/>
  <c r="J346" i="1" a="1"/>
  <c r="J347" i="1" a="1"/>
  <c r="J348" i="1" a="1"/>
  <c r="J349" i="1" a="1"/>
  <c r="J350" i="1" a="1"/>
  <c r="J351" i="1" a="1"/>
  <c r="J352" i="1" a="1"/>
  <c r="J353" i="1" a="1"/>
  <c r="J354" i="1" a="1"/>
  <c r="J355" i="1" a="1"/>
  <c r="J356" i="1" a="1"/>
  <c r="J357" i="1" a="1"/>
  <c r="J358" i="1" a="1"/>
  <c r="J359" i="1" a="1"/>
  <c r="J360" i="1" a="1"/>
  <c r="J361" i="1" a="1"/>
  <c r="J362" i="1" a="1"/>
  <c r="J363" i="1" a="1"/>
  <c r="J364" i="1" a="1"/>
  <c r="J365" i="1" a="1"/>
  <c r="J366" i="1" a="1"/>
  <c r="J367" i="1" a="1"/>
  <c r="J368" i="1" a="1"/>
  <c r="J369" i="1" a="1"/>
  <c r="J370" i="1" a="1"/>
  <c r="J371" i="1" a="1"/>
  <c r="J372" i="1" a="1"/>
  <c r="J373" i="1" a="1"/>
  <c r="J374" i="1" a="1"/>
  <c r="J375" i="1" a="1"/>
  <c r="J376" i="1" a="1"/>
  <c r="J377" i="1" a="1"/>
  <c r="J378" i="1" a="1"/>
  <c r="J379" i="1" a="1"/>
  <c r="J380" i="1" a="1"/>
  <c r="J381" i="1" a="1"/>
  <c r="J382" i="1" a="1"/>
  <c r="J383" i="1" a="1"/>
  <c r="J384" i="1" a="1"/>
  <c r="J385" i="1" a="1"/>
  <c r="J386" i="1" a="1"/>
  <c r="J387" i="1" a="1"/>
  <c r="K18" i="1" a="1"/>
  <c r="K19" i="1" a="1"/>
  <c r="K20" i="1" a="1"/>
  <c r="K21" i="1" a="1"/>
  <c r="K22" i="1" a="1"/>
  <c r="K23" i="1" a="1"/>
  <c r="K24" i="1" a="1"/>
  <c r="K25" i="1" a="1"/>
  <c r="K26" i="1" a="1"/>
  <c r="K27" i="1" a="1"/>
  <c r="K28" i="1" a="1"/>
  <c r="K29" i="1" a="1"/>
  <c r="K30" i="1" a="1"/>
  <c r="K31" i="1" a="1"/>
  <c r="K32" i="1" a="1"/>
  <c r="K33" i="1" a="1"/>
  <c r="K34" i="1" a="1"/>
  <c r="K35" i="1" a="1"/>
  <c r="K36" i="1" a="1"/>
  <c r="K37" i="1" a="1"/>
  <c r="K38" i="1" a="1"/>
  <c r="K39" i="1" a="1"/>
  <c r="K40" i="1" a="1"/>
  <c r="K41" i="1" a="1"/>
  <c r="K42" i="1" a="1"/>
  <c r="K43" i="1" a="1"/>
  <c r="K44" i="1" a="1"/>
  <c r="K45" i="1" a="1"/>
  <c r="K46" i="1" a="1"/>
  <c r="K47" i="1" a="1"/>
  <c r="K48" i="1" a="1"/>
  <c r="K49" i="1" a="1"/>
  <c r="K50" i="1" a="1"/>
  <c r="K51" i="1" a="1"/>
  <c r="K52" i="1" a="1"/>
  <c r="K53" i="1" a="1"/>
  <c r="K54" i="1" a="1"/>
  <c r="K55" i="1" a="1"/>
  <c r="K56" i="1" a="1"/>
  <c r="K57" i="1" a="1"/>
  <c r="K58" i="1" a="1"/>
  <c r="K59" i="1" a="1"/>
  <c r="K60" i="1" a="1"/>
  <c r="K61" i="1" a="1"/>
  <c r="K62" i="1" a="1"/>
  <c r="K63" i="1" a="1"/>
  <c r="K64" i="1" a="1"/>
  <c r="K65" i="1" a="1"/>
  <c r="K66" i="1" a="1"/>
  <c r="K67" i="1" a="1"/>
  <c r="K68" i="1" a="1"/>
  <c r="K69" i="1" a="1"/>
  <c r="K70" i="1" a="1"/>
  <c r="K71" i="1" a="1"/>
  <c r="K72" i="1" a="1"/>
  <c r="K73" i="1" a="1"/>
  <c r="K74" i="1" a="1"/>
  <c r="K75" i="1" a="1"/>
  <c r="K76" i="1" a="1"/>
  <c r="K77" i="1" a="1"/>
  <c r="K78" i="1" a="1"/>
  <c r="K79" i="1" a="1"/>
  <c r="K80" i="1" a="1"/>
  <c r="K81" i="1" a="1"/>
  <c r="K82" i="1" a="1"/>
  <c r="K83" i="1" a="1"/>
  <c r="K84" i="1" a="1"/>
  <c r="K85" i="1" a="1"/>
  <c r="K86" i="1" a="1"/>
  <c r="K87" i="1" a="1"/>
  <c r="K88" i="1" a="1"/>
  <c r="K89" i="1" a="1"/>
  <c r="K90" i="1" a="1"/>
  <c r="K91" i="1" a="1"/>
  <c r="K92" i="1" a="1"/>
  <c r="K93" i="1" a="1"/>
  <c r="K94" i="1" a="1"/>
  <c r="K95" i="1" a="1"/>
  <c r="K96" i="1" a="1"/>
  <c r="K97" i="1" a="1"/>
  <c r="K98" i="1" a="1"/>
  <c r="K99" i="1" a="1"/>
  <c r="K100" i="1" a="1"/>
  <c r="K101" i="1" a="1"/>
  <c r="K102" i="1" a="1"/>
  <c r="K103" i="1" a="1"/>
  <c r="K104" i="1" a="1"/>
  <c r="K105" i="1" a="1"/>
  <c r="K106" i="1" a="1"/>
  <c r="K107" i="1" a="1"/>
  <c r="K108" i="1" a="1"/>
  <c r="K109" i="1" a="1"/>
  <c r="K110" i="1" a="1"/>
  <c r="K111" i="1" a="1"/>
  <c r="K112" i="1" a="1"/>
  <c r="K113" i="1" a="1"/>
  <c r="K114" i="1" a="1"/>
  <c r="K115" i="1" a="1"/>
  <c r="K116" i="1" a="1"/>
  <c r="K117" i="1" a="1"/>
  <c r="K118" i="1" a="1"/>
  <c r="K119" i="1" a="1"/>
  <c r="K120" i="1" a="1"/>
  <c r="K121" i="1" a="1"/>
  <c r="K122" i="1" a="1"/>
  <c r="K123" i="1" a="1"/>
  <c r="K124" i="1" a="1"/>
  <c r="K125" i="1" a="1"/>
  <c r="K126" i="1" a="1"/>
  <c r="K127" i="1" a="1"/>
  <c r="K128" i="1" a="1"/>
  <c r="K129" i="1" a="1"/>
  <c r="K130" i="1" a="1"/>
  <c r="K131" i="1" a="1"/>
  <c r="K132" i="1" a="1"/>
  <c r="K133" i="1" a="1"/>
  <c r="K134" i="1" a="1"/>
  <c r="K135" i="1" a="1"/>
  <c r="K136" i="1" a="1"/>
  <c r="K137" i="1" a="1"/>
  <c r="K138" i="1" a="1"/>
  <c r="K139" i="1" a="1"/>
  <c r="K140" i="1" a="1"/>
  <c r="K141" i="1" a="1"/>
  <c r="K142" i="1" a="1"/>
  <c r="K143" i="1" a="1"/>
  <c r="K144" i="1" a="1"/>
  <c r="K145" i="1" a="1"/>
  <c r="K146" i="1" a="1"/>
  <c r="K147" i="1" a="1"/>
  <c r="K148" i="1" a="1"/>
  <c r="K149" i="1" a="1"/>
  <c r="K150" i="1" a="1"/>
  <c r="K151" i="1" a="1"/>
  <c r="K152" i="1" a="1"/>
  <c r="K153" i="1" a="1"/>
  <c r="K154" i="1" a="1"/>
  <c r="K155" i="1" a="1"/>
  <c r="K156" i="1" a="1"/>
  <c r="K157" i="1" a="1"/>
  <c r="K158" i="1" a="1"/>
  <c r="K159" i="1" a="1"/>
  <c r="K160" i="1" a="1"/>
  <c r="K161" i="1" a="1"/>
  <c r="K162" i="1" a="1"/>
  <c r="K163" i="1" a="1"/>
  <c r="K164" i="1" a="1"/>
  <c r="K165" i="1" a="1"/>
  <c r="K166" i="1" a="1"/>
  <c r="K167" i="1" a="1"/>
  <c r="K168" i="1" a="1"/>
  <c r="K169" i="1" a="1"/>
  <c r="K170" i="1" a="1"/>
  <c r="K171" i="1" a="1"/>
  <c r="K172" i="1" a="1"/>
  <c r="K173" i="1" a="1"/>
  <c r="K174" i="1" a="1"/>
  <c r="K175" i="1" a="1"/>
  <c r="K176" i="1" a="1"/>
  <c r="K177" i="1" a="1"/>
  <c r="K178" i="1" a="1"/>
  <c r="K179" i="1" a="1"/>
  <c r="K180" i="1" a="1"/>
  <c r="K181" i="1" a="1"/>
  <c r="K182" i="1" a="1"/>
  <c r="K183" i="1" a="1"/>
  <c r="K184" i="1" a="1"/>
  <c r="K185" i="1" a="1"/>
  <c r="K186" i="1" a="1"/>
  <c r="K187" i="1" a="1"/>
  <c r="K188" i="1" a="1"/>
  <c r="K189" i="1" a="1"/>
  <c r="K190" i="1" a="1"/>
  <c r="K191" i="1" a="1"/>
  <c r="K192" i="1" a="1"/>
  <c r="K193" i="1" a="1"/>
  <c r="K194" i="1" a="1"/>
  <c r="K195" i="1" a="1"/>
  <c r="K196" i="1" a="1"/>
  <c r="K197" i="1" a="1"/>
  <c r="K198" i="1" a="1"/>
  <c r="K199" i="1" a="1"/>
  <c r="K200" i="1" a="1"/>
  <c r="K201" i="1" a="1"/>
  <c r="K202" i="1" a="1"/>
  <c r="K203" i="1" a="1"/>
  <c r="K204" i="1" a="1"/>
  <c r="K205" i="1" a="1"/>
  <c r="K206" i="1" a="1"/>
  <c r="K207" i="1" a="1"/>
  <c r="K208" i="1" a="1"/>
  <c r="K209" i="1" a="1"/>
  <c r="K210" i="1" a="1"/>
  <c r="K211" i="1" a="1"/>
  <c r="K212" i="1" a="1"/>
  <c r="K213" i="1" a="1"/>
  <c r="K214" i="1" a="1"/>
  <c r="K215" i="1" a="1"/>
  <c r="K216" i="1" a="1"/>
  <c r="K217" i="1" a="1"/>
  <c r="K218" i="1" a="1"/>
  <c r="K219" i="1" a="1"/>
  <c r="K220" i="1" a="1"/>
  <c r="K221" i="1" a="1"/>
  <c r="K222" i="1" a="1"/>
  <c r="K223" i="1" a="1"/>
  <c r="K224" i="1" a="1"/>
  <c r="K225" i="1" a="1"/>
  <c r="K226" i="1" a="1"/>
  <c r="K227" i="1" a="1"/>
  <c r="K228" i="1" a="1"/>
  <c r="K229" i="1" a="1"/>
  <c r="K230" i="1" a="1"/>
  <c r="K231" i="1" a="1"/>
  <c r="K232" i="1" a="1"/>
  <c r="K233" i="1" a="1"/>
  <c r="K234" i="1" a="1"/>
  <c r="K235" i="1" a="1"/>
  <c r="K236" i="1" a="1"/>
  <c r="K237" i="1" a="1"/>
  <c r="K238" i="1" a="1"/>
  <c r="K239" i="1" a="1"/>
  <c r="K240" i="1" a="1"/>
  <c r="K241" i="1" a="1"/>
  <c r="K242" i="1" a="1"/>
  <c r="K243" i="1" a="1"/>
  <c r="K244" i="1" a="1"/>
  <c r="K245" i="1" a="1"/>
  <c r="K246" i="1" a="1"/>
  <c r="K247" i="1" a="1"/>
  <c r="K248" i="1" a="1"/>
  <c r="K249" i="1" a="1"/>
  <c r="K250" i="1" a="1"/>
  <c r="K251" i="1" a="1"/>
  <c r="K252" i="1" a="1"/>
  <c r="K253" i="1" a="1"/>
  <c r="K254" i="1" a="1"/>
  <c r="K255" i="1" a="1"/>
  <c r="K256" i="1" a="1"/>
  <c r="K257" i="1" a="1"/>
  <c r="K258" i="1" a="1"/>
  <c r="K259" i="1" a="1"/>
  <c r="K260" i="1" a="1"/>
  <c r="K261" i="1" a="1"/>
  <c r="K262" i="1" a="1"/>
  <c r="K263" i="1" a="1"/>
  <c r="K264" i="1" a="1"/>
  <c r="K265" i="1" a="1"/>
  <c r="K266" i="1" a="1"/>
  <c r="K267" i="1" a="1"/>
  <c r="K268" i="1" a="1"/>
  <c r="K269" i="1" a="1"/>
  <c r="K270" i="1" a="1"/>
  <c r="K271" i="1" a="1"/>
  <c r="K272" i="1" a="1"/>
  <c r="K273" i="1" a="1"/>
  <c r="K274" i="1" a="1"/>
  <c r="K275" i="1" a="1"/>
  <c r="K276" i="1" a="1"/>
  <c r="K277" i="1" a="1"/>
  <c r="K278" i="1" a="1"/>
  <c r="K279" i="1" a="1"/>
  <c r="K280" i="1" a="1"/>
  <c r="K281" i="1" a="1"/>
  <c r="K282" i="1" a="1"/>
  <c r="K283" i="1" a="1"/>
  <c r="K284" i="1" a="1"/>
  <c r="K285" i="1" a="1"/>
  <c r="K286" i="1" a="1"/>
  <c r="K287" i="1" a="1"/>
  <c r="K288" i="1" a="1"/>
  <c r="K289" i="1" a="1"/>
  <c r="K290" i="1" a="1"/>
  <c r="K291" i="1" a="1"/>
  <c r="K292" i="1" a="1"/>
  <c r="K293" i="1" a="1"/>
  <c r="K294" i="1" a="1"/>
  <c r="K295" i="1" a="1"/>
  <c r="K296" i="1" a="1"/>
  <c r="K297" i="1" a="1"/>
  <c r="K298" i="1" a="1"/>
  <c r="K299" i="1" a="1"/>
  <c r="K300" i="1" a="1"/>
  <c r="K301" i="1" a="1"/>
  <c r="K302" i="1" a="1"/>
  <c r="K303" i="1" a="1"/>
  <c r="K304" i="1" a="1"/>
  <c r="K305" i="1" a="1"/>
  <c r="K306" i="1" a="1"/>
  <c r="K307" i="1" a="1"/>
  <c r="K308" i="1" a="1"/>
  <c r="K309" i="1" a="1"/>
  <c r="K310" i="1" a="1"/>
  <c r="K311" i="1" a="1"/>
  <c r="K312" i="1" a="1"/>
  <c r="K313" i="1" a="1"/>
  <c r="K314" i="1" a="1"/>
  <c r="K315" i="1" a="1"/>
  <c r="K316" i="1" a="1"/>
  <c r="K317" i="1" a="1"/>
  <c r="K318" i="1" a="1"/>
  <c r="K319" i="1" a="1"/>
  <c r="K320" i="1" a="1"/>
  <c r="K321" i="1" a="1"/>
  <c r="K322" i="1" a="1"/>
  <c r="K323" i="1" a="1"/>
  <c r="K324" i="1" a="1"/>
  <c r="K325" i="1" a="1"/>
  <c r="K326" i="1" a="1"/>
  <c r="K327" i="1" a="1"/>
  <c r="K328" i="1" a="1"/>
  <c r="K329" i="1" a="1"/>
  <c r="K330" i="1" a="1"/>
  <c r="K331" i="1" a="1"/>
  <c r="K332" i="1" a="1"/>
  <c r="K333" i="1" a="1"/>
  <c r="K334" i="1" a="1"/>
  <c r="K335" i="1" a="1"/>
  <c r="K336" i="1" a="1"/>
  <c r="K337" i="1" a="1"/>
  <c r="K338" i="1" a="1"/>
  <c r="K339" i="1" a="1"/>
  <c r="K340" i="1" a="1"/>
  <c r="K341" i="1" a="1"/>
  <c r="K342" i="1" a="1"/>
  <c r="K343" i="1" a="1"/>
  <c r="K344" i="1" a="1"/>
  <c r="K345" i="1" a="1"/>
  <c r="K346" i="1" a="1"/>
  <c r="K347" i="1" a="1"/>
  <c r="K348" i="1" a="1"/>
  <c r="K349" i="1" a="1"/>
  <c r="K350" i="1" a="1"/>
  <c r="K351" i="1" a="1"/>
  <c r="K352" i="1" a="1"/>
  <c r="K353" i="1" a="1"/>
  <c r="K354" i="1" a="1"/>
  <c r="K355" i="1" a="1"/>
  <c r="K356" i="1" a="1"/>
  <c r="K357" i="1" a="1"/>
  <c r="K358" i="1" a="1"/>
  <c r="K359" i="1" a="1"/>
  <c r="K360" i="1" a="1"/>
  <c r="K361" i="1" a="1"/>
  <c r="K362" i="1" a="1"/>
  <c r="K363" i="1" a="1"/>
  <c r="K364" i="1" a="1"/>
  <c r="K365" i="1" a="1"/>
  <c r="K366" i="1" a="1"/>
  <c r="K367" i="1" a="1"/>
  <c r="K368" i="1" a="1"/>
  <c r="K369" i="1" a="1"/>
  <c r="K370" i="1" a="1"/>
  <c r="K371" i="1" a="1"/>
  <c r="K372" i="1" a="1"/>
  <c r="K373" i="1" a="1"/>
  <c r="K374" i="1" a="1"/>
  <c r="K375" i="1" a="1"/>
  <c r="K376" i="1" a="1"/>
  <c r="K377" i="1" a="1"/>
  <c r="K378" i="1" a="1"/>
  <c r="K379" i="1" a="1"/>
  <c r="K380" i="1" a="1"/>
  <c r="K381" i="1" a="1"/>
  <c r="K382" i="1" a="1"/>
  <c r="K383" i="1" a="1"/>
  <c r="K384" i="1" a="1"/>
  <c r="K385" i="1" a="1"/>
  <c r="K386" i="1" a="1"/>
  <c r="K387" i="1" a="1"/>
  <c r="AB2" i="2" l="1" a="1"/>
  <c r="A61" i="2" a="1"/>
  <c r="H31" i="2"/>
  <c r="C38" i="2"/>
  <c r="B52" i="2" s="1"/>
  <c r="L104" i="1" a="1"/>
  <c r="L99" i="1" a="1"/>
  <c r="L109" i="1" a="1"/>
  <c r="F91" i="2" l="1"/>
  <c r="B91" i="2"/>
  <c r="E91" i="2"/>
  <c r="D91" i="2"/>
  <c r="C91" i="2"/>
  <c r="H38" i="2"/>
  <c r="L91" i="1" a="1"/>
  <c r="L92" i="1" a="1"/>
  <c r="L83" i="1" a="1"/>
  <c r="L81" i="1" l="1" a="1"/>
  <c r="L98" i="1" a="1"/>
  <c r="L82" i="1" a="1"/>
  <c r="L79" i="1" l="1" a="1"/>
  <c r="L117" i="1" a="1"/>
  <c r="L80" i="1" a="1"/>
  <c r="L116" i="1" l="1" a="1"/>
  <c r="L78" i="1" a="1"/>
  <c r="L97" i="1" a="1"/>
  <c r="L88" i="1" l="1" a="1"/>
  <c r="L115" i="1" a="1"/>
  <c r="L77" i="1" a="1"/>
  <c r="L87" i="1" l="1" a="1"/>
  <c r="L121" i="1" a="1"/>
  <c r="L76" i="1" a="1"/>
  <c r="L108" i="1" l="1" a="1"/>
  <c r="L103" i="1" a="1"/>
  <c r="L75" i="1" a="1"/>
  <c r="L107" i="1" l="1" a="1"/>
  <c r="L95" i="1" a="1"/>
  <c r="L96" i="1" a="1"/>
  <c r="L113" i="1" l="1" a="1"/>
  <c r="L114" i="1" a="1"/>
  <c r="L102" i="1" a="1"/>
  <c r="L86" i="1" l="1" a="1"/>
  <c r="L112" i="1" a="1"/>
  <c r="L106" i="1" a="1"/>
  <c r="L101" i="1" l="1" a="1"/>
  <c r="L119" i="1" a="1"/>
  <c r="L122" i="1" a="1"/>
  <c r="L74" i="1" l="1" a="1"/>
  <c r="L84" i="1" a="1"/>
  <c r="L85" i="1" a="1"/>
  <c r="L71" i="1" l="1" a="1"/>
  <c r="L111" i="1" a="1"/>
  <c r="L94" i="1" a="1"/>
  <c r="L93" i="1" l="1" a="1"/>
  <c r="L105" i="1" a="1"/>
  <c r="L100" i="1" a="1"/>
  <c r="L123" i="1" a="1"/>
  <c r="L89" i="1" l="1" a="1"/>
  <c r="L73" i="1" a="1"/>
  <c r="L120" i="1" a="1"/>
  <c r="L90"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<sst xmlns="http://schemas.openxmlformats.org/spreadsheetml/2006/main" count="5035" uniqueCount="1674">
  <si>
    <t>Coordinator</t>
  </si>
  <si>
    <t>Company ID</t>
  </si>
  <si>
    <t>Company Name</t>
  </si>
  <si>
    <t>Service Type</t>
  </si>
  <si>
    <t>Critical</t>
  </si>
  <si>
    <t>Annual Spend</t>
  </si>
  <si>
    <t>Contact Name</t>
  </si>
  <si>
    <t>Contact Phone</t>
  </si>
  <si>
    <t>Contact Email</t>
  </si>
  <si>
    <t>Marisol Reyes</t>
  </si>
  <si>
    <t>Elite Generator Services Company</t>
  </si>
  <si>
    <t>Backup Power &amp; Generators</t>
  </si>
  <si>
    <t>Grace Sullivan</t>
  </si>
  <si>
    <t>(310) 555-1762</t>
  </si>
  <si>
    <t>gsullivan@elitegeneratorserv.com</t>
  </si>
  <si>
    <t>Evergreen Generator Services Enterprises</t>
  </si>
  <si>
    <t>Kevin Torres</t>
  </si>
  <si>
    <t>(310) 555-1971</t>
  </si>
  <si>
    <t>ktorres@evergreengenerator.com</t>
  </si>
  <si>
    <t>Guardian Energy Systems Inc.</t>
  </si>
  <si>
    <t>Brian Sullivan</t>
  </si>
  <si>
    <t>(562) 555-1878</t>
  </si>
  <si>
    <t>bsullivan@guardianenergysyst.com</t>
  </si>
  <si>
    <t>SoCal Generator Services Partners</t>
  </si>
  <si>
    <t>Jennifer Ali</t>
  </si>
  <si>
    <t>(818) 555-1256</t>
  </si>
  <si>
    <t>jali@socalgeneratorserv.com</t>
  </si>
  <si>
    <t>All-Star Electrical Services</t>
  </si>
  <si>
    <t>Electrical</t>
  </si>
  <si>
    <t>Gloria Rivera</t>
  </si>
  <si>
    <t>(310) 555-1476</t>
  </si>
  <si>
    <t>grivera@allstarelectricals.com</t>
  </si>
  <si>
    <t>First Class Electrical Enterprises</t>
  </si>
  <si>
    <t>Hector Gonzalez</t>
  </si>
  <si>
    <t>(310) 555-1592</t>
  </si>
  <si>
    <t>hgonzalez@firstclasselectric.com</t>
  </si>
  <si>
    <t>Pacific Electric LLC</t>
  </si>
  <si>
    <t>Omar Hughes</t>
  </si>
  <si>
    <t>(213) 555-1918</t>
  </si>
  <si>
    <t>ohughes@pacificelectricllc.com</t>
  </si>
  <si>
    <t>SoCal Power Systems Contractors</t>
  </si>
  <si>
    <t>Hector Lee</t>
  </si>
  <si>
    <t>(818) 555-1406</t>
  </si>
  <si>
    <t>hlee@socalpowersystemsc.com</t>
  </si>
  <si>
    <t>Union Power Services</t>
  </si>
  <si>
    <t>David Cohen</t>
  </si>
  <si>
    <t>(562) 555-1006</t>
  </si>
  <si>
    <t>dcohen@unionpowerservices.com</t>
  </si>
  <si>
    <t>Vanguard Electric Enterprises</t>
  </si>
  <si>
    <t>Nancy Okafor</t>
  </si>
  <si>
    <t>(562) 555-1107</t>
  </si>
  <si>
    <t>nokafor@vanguardelectricen.com</t>
  </si>
  <si>
    <t>Vanguard Electrical Contractors Corp.</t>
  </si>
  <si>
    <t>Theresa Davis</t>
  </si>
  <si>
    <t>(562) 555-1590</t>
  </si>
  <si>
    <t>tdavis@vanguardelectrical.com</t>
  </si>
  <si>
    <t>Westside Power Services</t>
  </si>
  <si>
    <t>Mark Rodriguez</t>
  </si>
  <si>
    <t>(310) 555-1912</t>
  </si>
  <si>
    <t>mrodriguez@westsidepowerservi.com</t>
  </si>
  <si>
    <t>Blue Diamond Lift Services Services</t>
  </si>
  <si>
    <t>Elevator &amp; Escalator</t>
  </si>
  <si>
    <t>Andrew Bautista</t>
  </si>
  <si>
    <t>(310) 555-1642</t>
  </si>
  <si>
    <t>abautista@bluediamondliftser.com</t>
  </si>
  <si>
    <t>Downtown LA Elevator</t>
  </si>
  <si>
    <t>David Brown</t>
  </si>
  <si>
    <t>(213) 555-1217</t>
  </si>
  <si>
    <t>dbrown@downtownlaelevator.com</t>
  </si>
  <si>
    <t>Elite Lift Services Associates</t>
  </si>
  <si>
    <t>Hector Reyes</t>
  </si>
  <si>
    <t>(213) 555-1541</t>
  </si>
  <si>
    <t>hreyes@eliteliftservicesa.com</t>
  </si>
  <si>
    <t>Golden State Vertical Transport Associates</t>
  </si>
  <si>
    <t>Susan Robinson</t>
  </si>
  <si>
    <t>srobinson@goldenstatevertica.com</t>
  </si>
  <si>
    <t>Lincoln Vertical Transport Systems</t>
  </si>
  <si>
    <t>Diana Rodriguez</t>
  </si>
  <si>
    <t>(562) 555-1513</t>
  </si>
  <si>
    <t>drodriguez@lincolnverticaltra.com</t>
  </si>
  <si>
    <t>Nova Lift Services Enterprises</t>
  </si>
  <si>
    <t>Linda Hayes</t>
  </si>
  <si>
    <t>(310) 555-1564</t>
  </si>
  <si>
    <t>lhayes@novaliftservicesen.com</t>
  </si>
  <si>
    <t>ProCare Elevator Solutions</t>
  </si>
  <si>
    <t>Raymond Vasquez</t>
  </si>
  <si>
    <t>(310) 555-1457</t>
  </si>
  <si>
    <t>rvasquez@procareelevatorsol.com</t>
  </si>
  <si>
    <t>Allied Life Safety Corp</t>
  </si>
  <si>
    <t>Fire &amp; Life Safety</t>
  </si>
  <si>
    <t>Linda Rodriguez</t>
  </si>
  <si>
    <t>(424) 555-1919</t>
  </si>
  <si>
    <t>lrodriguez@alliedlifesafetyco.com</t>
  </si>
  <si>
    <t>Downtown LA Fire Systems Company</t>
  </si>
  <si>
    <t>Susan Bautista</t>
  </si>
  <si>
    <t>(818) 555-1151</t>
  </si>
  <si>
    <t>sbautista@downtownlafiresyst.com</t>
  </si>
  <si>
    <t>Elite Life Safety Contractors</t>
  </si>
  <si>
    <t>Patricia Kim</t>
  </si>
  <si>
    <t>(323) 555-1222</t>
  </si>
  <si>
    <t>pkim@elitelifesafetycon.com</t>
  </si>
  <si>
    <t>Guardian Fire Protection Solutions</t>
  </si>
  <si>
    <t>Paul Kim</t>
  </si>
  <si>
    <t>(310) 555-1715</t>
  </si>
  <si>
    <t>pkim@guardianfireprotec.com</t>
  </si>
  <si>
    <t>Lincoln Fire Protection Company</t>
  </si>
  <si>
    <t>Elena Wilson</t>
  </si>
  <si>
    <t>(323) 555-1155</t>
  </si>
  <si>
    <t>ewilson@lincolnfireprotect.com</t>
  </si>
  <si>
    <t>Precision Life Safety Systems</t>
  </si>
  <si>
    <t>Karen Martinez</t>
  </si>
  <si>
    <t>(562) 555-1360</t>
  </si>
  <si>
    <t>kmartinez@precisionlifesafet.com</t>
  </si>
  <si>
    <t>Vertex Life Safety Associates</t>
  </si>
  <si>
    <t>Denise Johnson</t>
  </si>
  <si>
    <t>(323) 555-1276</t>
  </si>
  <si>
    <t>djohnson@vertexlifesafetyas.com</t>
  </si>
  <si>
    <t>Allied HVAC Systems</t>
  </si>
  <si>
    <t>HVAC</t>
  </si>
  <si>
    <t>Grace Hughes</t>
  </si>
  <si>
    <t>(818) 555-1496</t>
  </si>
  <si>
    <t>ghughes@alliedhvacsystems.com</t>
  </si>
  <si>
    <t>Coastal Climate Control</t>
  </si>
  <si>
    <t>Angela Navarro</t>
  </si>
  <si>
    <t>(213) 555-1230</t>
  </si>
  <si>
    <t>anavarro@coastalclimatecont.com</t>
  </si>
  <si>
    <t>Frontier Air Partners</t>
  </si>
  <si>
    <t>Angela Vasquez</t>
  </si>
  <si>
    <t>(818) 555-1294</t>
  </si>
  <si>
    <t>avasquez@frontierairpartner.com</t>
  </si>
  <si>
    <t>Golden State</t>
  </si>
  <si>
    <t>Curtis Wilson</t>
  </si>
  <si>
    <t>(424) 555-1924</t>
  </si>
  <si>
    <t>cwilson@goldenstate.com</t>
  </si>
  <si>
    <t>Monarch Mechanical Partners</t>
  </si>
  <si>
    <t>Michael Flores</t>
  </si>
  <si>
    <t>(310) 555-1973</t>
  </si>
  <si>
    <t>mflores@monarchmechanicalp.com</t>
  </si>
  <si>
    <t>Sterling Climate Control Group</t>
  </si>
  <si>
    <t>Steven Nakamura</t>
  </si>
  <si>
    <t>(818) 555-1961</t>
  </si>
  <si>
    <t>snakamura@sterlingclimatecon.com</t>
  </si>
  <si>
    <t>Frontier Technologies Associates</t>
  </si>
  <si>
    <t>IT &amp; Network Services</t>
  </si>
  <si>
    <t>Andrew Reyes</t>
  </si>
  <si>
    <t>(323) 555-1088</t>
  </si>
  <si>
    <t>areyes@frontiertechnologi.com</t>
  </si>
  <si>
    <t>Monarch Data Systems Systems</t>
  </si>
  <si>
    <t>Eric Flores</t>
  </si>
  <si>
    <t>(818) 555-1682</t>
  </si>
  <si>
    <t>eflores@monarchdatasystems.com</t>
  </si>
  <si>
    <t>Sequoia Data Systems Group</t>
  </si>
  <si>
    <t>Brian Ford</t>
  </si>
  <si>
    <t>(323) 555-1529</t>
  </si>
  <si>
    <t>bford@sequoiadatasystems.com</t>
  </si>
  <si>
    <t>Sequoia Data Systems Solutions</t>
  </si>
  <si>
    <t>Daniel Nakamura</t>
  </si>
  <si>
    <t>(818) 555-1869</t>
  </si>
  <si>
    <t>dnakamura@sequoiadatasystems.com</t>
  </si>
  <si>
    <t>Crown Piping Co.</t>
  </si>
  <si>
    <t>Plumbing</t>
  </si>
  <si>
    <t>Gloria Castillo</t>
  </si>
  <si>
    <t>(310) 555-1485</t>
  </si>
  <si>
    <t>gcastillo@crownpipingco.com</t>
  </si>
  <si>
    <t>Frontier Piping Enterprises</t>
  </si>
  <si>
    <t>Jose Bryant</t>
  </si>
  <si>
    <t>(213) 555-1855</t>
  </si>
  <si>
    <t>jbryant@frontierpipingente.com</t>
  </si>
  <si>
    <t>Grand Plumbing &amp; Drain Partners</t>
  </si>
  <si>
    <t>Joan Nakamura</t>
  </si>
  <si>
    <t>(310) 555-1852</t>
  </si>
  <si>
    <t>jnakamura@grandplumbingdrain.com</t>
  </si>
  <si>
    <t>Pacific Plumbing LLC</t>
  </si>
  <si>
    <t>Nina Ramirez</t>
  </si>
  <si>
    <t>(424) 555-1533</t>
  </si>
  <si>
    <t>nramirez@pacificplumbingllc.com</t>
  </si>
  <si>
    <t>Premier Plumbing Associates</t>
  </si>
  <si>
    <t>Paul Bryant</t>
  </si>
  <si>
    <t>(424) 555-1510</t>
  </si>
  <si>
    <t>pbryant@premierplumbingass.com</t>
  </si>
  <si>
    <t>Titan Piping Solutions</t>
  </si>
  <si>
    <t>Patricia Delgado</t>
  </si>
  <si>
    <t>(562) 555-1250</t>
  </si>
  <si>
    <t>pdelgado@titanpipingsolutio.com</t>
  </si>
  <si>
    <t>Angel City Guard Services Services</t>
  </si>
  <si>
    <t>Security Services</t>
  </si>
  <si>
    <t>Theresa Robinson</t>
  </si>
  <si>
    <t>(424) 555-1952</t>
  </si>
  <si>
    <t>trobinson@angelcityguardserv.com</t>
  </si>
  <si>
    <t>Monarch Protective Services Systems</t>
  </si>
  <si>
    <t>Victor Castillo</t>
  </si>
  <si>
    <t>(310) 555-1336</t>
  </si>
  <si>
    <t>vcastillo@monarchprotectives.com</t>
  </si>
  <si>
    <t>Premier Security Corp.</t>
  </si>
  <si>
    <t>Monica Singh</t>
  </si>
  <si>
    <t>(562) 555-1809</t>
  </si>
  <si>
    <t>msingh@premiersecuritycor.com</t>
  </si>
  <si>
    <t>Sequoia Security Company</t>
  </si>
  <si>
    <t>Nina Bautista</t>
  </si>
  <si>
    <t>(323) 555-1250</t>
  </si>
  <si>
    <t>nbautista@sequoiasecuritycom.com</t>
  </si>
  <si>
    <t>Zenith Guard Services Solutions</t>
  </si>
  <si>
    <t>Michael Robinson</t>
  </si>
  <si>
    <t>(213) 555-1740</t>
  </si>
  <si>
    <t>mrobinson@zenithguardservice.com</t>
  </si>
  <si>
    <t>First Class Production Co.</t>
  </si>
  <si>
    <t>Audio/Visual &amp; Production</t>
  </si>
  <si>
    <t>Linda Reyes</t>
  </si>
  <si>
    <t>(323) 555-1478</t>
  </si>
  <si>
    <t>lreyes@firstclassproducti.com</t>
  </si>
  <si>
    <t>Blue Diamond Food Equipment Corp.</t>
  </si>
  <si>
    <t>Concessions Equipment</t>
  </si>
  <si>
    <t>Nina Rivera</t>
  </si>
  <si>
    <t>(562) 555-1373</t>
  </si>
  <si>
    <t>nrivera@bluediamondfoodequ.com</t>
  </si>
  <si>
    <t>Liberty Landscaping Enterprises</t>
  </si>
  <si>
    <t>Landscaping</t>
  </si>
  <si>
    <t>Michael Vasquez</t>
  </si>
  <si>
    <t>(818) 555-1224</t>
  </si>
  <si>
    <t>mvasquez@libertylandscaping.com</t>
  </si>
  <si>
    <t>Evergreen Lock &amp; Key Associates</t>
  </si>
  <si>
    <t>Locksmith Services</t>
  </si>
  <si>
    <t>Monica Hughes</t>
  </si>
  <si>
    <t>(310) 555-1167</t>
  </si>
  <si>
    <t>mhughes@evergreenlockkeyas.com</t>
  </si>
  <si>
    <t>Premier Lock &amp; Key Systems</t>
  </si>
  <si>
    <t>Joan Sullivan</t>
  </si>
  <si>
    <t>(818) 555-1712</t>
  </si>
  <si>
    <t>jsullivan@premierlockkeysyst.com</t>
  </si>
  <si>
    <t>Citywide Water Systems Co.</t>
  </si>
  <si>
    <t>Water Treatment</t>
  </si>
  <si>
    <t>Angela Ramirez</t>
  </si>
  <si>
    <t>(310) 555-1357</t>
  </si>
  <si>
    <t>aramirez@citywidewatersyste.com</t>
  </si>
  <si>
    <t>Trevor Nguyen</t>
  </si>
  <si>
    <t>Beacon Energy Systems Co.</t>
  </si>
  <si>
    <t>Omar Sullivan</t>
  </si>
  <si>
    <t>(310) 555-1619</t>
  </si>
  <si>
    <t>osullivan@beaconenergysystem.com</t>
  </si>
  <si>
    <t>Vertex Generator Services Associates</t>
  </si>
  <si>
    <t>Nina Adams</t>
  </si>
  <si>
    <t>(424) 555-1211</t>
  </si>
  <si>
    <t>nadams@vertexgeneratorser.com</t>
  </si>
  <si>
    <t>Allied Power Company</t>
  </si>
  <si>
    <t>Raymond Torres</t>
  </si>
  <si>
    <t>(818) 555-1660</t>
  </si>
  <si>
    <t>rtorres@alliedpowercompany.com</t>
  </si>
  <si>
    <t>Cardinal Electric Services</t>
  </si>
  <si>
    <t>Patricia Hughes</t>
  </si>
  <si>
    <t>(818) 555-1095</t>
  </si>
  <si>
    <t>phughes@cardinalelectricse.com</t>
  </si>
  <si>
    <t>Liberty Electrical Co.</t>
  </si>
  <si>
    <t>Curtis Nguyen</t>
  </si>
  <si>
    <t>cnguyen@libertyelectricalc.com</t>
  </si>
  <si>
    <t>Nova Electric Company</t>
  </si>
  <si>
    <t>Sandra Hayes</t>
  </si>
  <si>
    <t>(213) 555-1745</t>
  </si>
  <si>
    <t>shayes@novaelectriccompan.com</t>
  </si>
  <si>
    <t>Pinnacle Power Corp.</t>
  </si>
  <si>
    <t>Paul Ramirez</t>
  </si>
  <si>
    <t>(310) 555-1179</t>
  </si>
  <si>
    <t>pramirez@pinnaclepowercorp.com</t>
  </si>
  <si>
    <t>Precision Electrical Co.</t>
  </si>
  <si>
    <t>Linda Vasquez</t>
  </si>
  <si>
    <t>(213) 555-1065</t>
  </si>
  <si>
    <t>lvasquez@precisionelectrica.com</t>
  </si>
  <si>
    <t>Redline Power Systems Partners</t>
  </si>
  <si>
    <t>Victor Wilson</t>
  </si>
  <si>
    <t>(562) 555-1964</t>
  </si>
  <si>
    <t>vwilson@redlinepowersystem.com</t>
  </si>
  <si>
    <t>Sequoia Electrical Associates</t>
  </si>
  <si>
    <t>Daniel Castillo</t>
  </si>
  <si>
    <t>(213) 555-1896</t>
  </si>
  <si>
    <t>dcastillo@sequoiaelectricala.com</t>
  </si>
  <si>
    <t>Sequoia Power Enterprises</t>
  </si>
  <si>
    <t>Kevin Davis</t>
  </si>
  <si>
    <t>(213) 555-1622</t>
  </si>
  <si>
    <t>kdavis@sequoiapowerenterp.com</t>
  </si>
  <si>
    <t>SoCal Electric Systems</t>
  </si>
  <si>
    <t>Sandra Cohen</t>
  </si>
  <si>
    <t>(424) 555-1461</t>
  </si>
  <si>
    <t>scohen@socalelectricsyste.com</t>
  </si>
  <si>
    <t>Sterling Electrical LLC</t>
  </si>
  <si>
    <t>Priya Davis</t>
  </si>
  <si>
    <t>(562) 555-1225</t>
  </si>
  <si>
    <t>pdavis@sterlingelectrical.com</t>
  </si>
  <si>
    <t>Cardinal Lift Services Associates</t>
  </si>
  <si>
    <t>Curtis Navarro</t>
  </si>
  <si>
    <t>(213) 555-1951</t>
  </si>
  <si>
    <t>cnavarro@cardinalliftservic.com</t>
  </si>
  <si>
    <t>Citywide Elevator Partners</t>
  </si>
  <si>
    <t>Carlos Rodriguez</t>
  </si>
  <si>
    <t>(310) 555-1691</t>
  </si>
  <si>
    <t>crodriguez@citywideelevatorpa.com</t>
  </si>
  <si>
    <t>Coastal Vertical Transport Inc.</t>
  </si>
  <si>
    <t>David Delgado</t>
  </si>
  <si>
    <t>(424) 555-1482</t>
  </si>
  <si>
    <t>ddelgado@coastalverticaltra.com</t>
  </si>
  <si>
    <t>Liberty Vertical Transport LLC</t>
  </si>
  <si>
    <t>Mark Wilson</t>
  </si>
  <si>
    <t>(562) 555-1779</t>
  </si>
  <si>
    <t>mwilson@libertyverticaltra.com</t>
  </si>
  <si>
    <t>Pacific Vertical Transport Company</t>
  </si>
  <si>
    <t>Daniel Hughes</t>
  </si>
  <si>
    <t>(213) 555-1436</t>
  </si>
  <si>
    <t>dhughes@pacificverticaltra.com</t>
  </si>
  <si>
    <t>Allied Fire Protection LLC</t>
  </si>
  <si>
    <t>Jose Robinson</t>
  </si>
  <si>
    <t>(310) 555-1941</t>
  </si>
  <si>
    <t>jrobinson@alliedfireprotecti.com</t>
  </si>
  <si>
    <t>Allied Fire Systems</t>
  </si>
  <si>
    <t>Susan Mehta</t>
  </si>
  <si>
    <t>(424) 555-1660</t>
  </si>
  <si>
    <t>smehta@alliedfiresystems.com</t>
  </si>
  <si>
    <t>SoCal Fire Protection Inc.</t>
  </si>
  <si>
    <t>Kevin Sullivan</t>
  </si>
  <si>
    <t>(424) 555-1123</t>
  </si>
  <si>
    <t>ksullivan@socalfireprotectio.com</t>
  </si>
  <si>
    <t>SoCal Life Safety Corp.</t>
  </si>
  <si>
    <t>Omar Castillo</t>
  </si>
  <si>
    <t>(424) 555-1771</t>
  </si>
  <si>
    <t>ocastillo@socallifesafetycor.com</t>
  </si>
  <si>
    <t>Anchor Cooling &amp; Heating Contractors</t>
  </si>
  <si>
    <t>Daniel Chen</t>
  </si>
  <si>
    <t>(818) 555-1474</t>
  </si>
  <si>
    <t>dchen@anchorcoolingheati.com</t>
  </si>
  <si>
    <t>Blue Diamond Air Enterprises</t>
  </si>
  <si>
    <t>Anthony Rivera</t>
  </si>
  <si>
    <t>(213) 555-1746</t>
  </si>
  <si>
    <t>arivera@bluediamondairente.com</t>
  </si>
  <si>
    <t>Golden State Air</t>
  </si>
  <si>
    <t>Maria Robinson</t>
  </si>
  <si>
    <t>(310) 555-1160</t>
  </si>
  <si>
    <t>mrobinson@goldenstateair.com</t>
  </si>
  <si>
    <t>Golden State Air Systems Group</t>
  </si>
  <si>
    <t>Eric Singh</t>
  </si>
  <si>
    <t>(323) 555-1371</t>
  </si>
  <si>
    <t>esingh@goldenstateairsyst.com</t>
  </si>
  <si>
    <t>ProCare Climate Control Co.</t>
  </si>
  <si>
    <t>Elena Ford</t>
  </si>
  <si>
    <t>(213) 555-1055</t>
  </si>
  <si>
    <t>eford@procareclimatecont.com</t>
  </si>
  <si>
    <t>Sierra Air Systems Company</t>
  </si>
  <si>
    <t>Daniel Bautista</t>
  </si>
  <si>
    <t>(424) 555-1405</t>
  </si>
  <si>
    <t>dbautista@sierraairsystemsco.com</t>
  </si>
  <si>
    <t>Sunset Air Services</t>
  </si>
  <si>
    <t>Bella Flores</t>
  </si>
  <si>
    <t>(213) 555-1484</t>
  </si>
  <si>
    <t>bflores@sunsetairservices.com</t>
  </si>
  <si>
    <t>Angel City Network</t>
  </si>
  <si>
    <t>Gloria Wilson</t>
  </si>
  <si>
    <t>(562) 555-1190</t>
  </si>
  <si>
    <t>gwilson@angelcitynetwork.com</t>
  </si>
  <si>
    <t>Citywide Technologies Enterprises</t>
  </si>
  <si>
    <t>Eric Vasquez</t>
  </si>
  <si>
    <t>(818) 555-1653</t>
  </si>
  <si>
    <t>evasquez@citywidetechnologi.com</t>
  </si>
  <si>
    <t>First Class Network Solutions Co.</t>
  </si>
  <si>
    <t>Karen Foster</t>
  </si>
  <si>
    <t>(818) 555-1063</t>
  </si>
  <si>
    <t>kfoster@firstclassnetworks.com</t>
  </si>
  <si>
    <t>Ironclad IT Services Partners</t>
  </si>
  <si>
    <t>Lisa Wong</t>
  </si>
  <si>
    <t>(323) 555-1209</t>
  </si>
  <si>
    <t>lwong@ironcladitservices.com</t>
  </si>
  <si>
    <t>Summit Technologies Co.</t>
  </si>
  <si>
    <t>Michael Ford</t>
  </si>
  <si>
    <t>(213) 555-1720</t>
  </si>
  <si>
    <t>mford@summittechnologies.com</t>
  </si>
  <si>
    <t>Allied Plumbing &amp; Drain Company</t>
  </si>
  <si>
    <t>Jose Rodriguez</t>
  </si>
  <si>
    <t>(310) 555-1804</t>
  </si>
  <si>
    <t>jrodriguez@alliedplumbingdrai.com</t>
  </si>
  <si>
    <t>Elite Piping Co.</t>
  </si>
  <si>
    <t>Linda Ramirez</t>
  </si>
  <si>
    <t>(310) 555-1746</t>
  </si>
  <si>
    <t>lramirez@elitepipingco.com</t>
  </si>
  <si>
    <t>Frontier Plumbing Company</t>
  </si>
  <si>
    <t>Susan Nguyen</t>
  </si>
  <si>
    <t>(424) 555-1048</t>
  </si>
  <si>
    <t>snguyen@frontierplumbingco.com</t>
  </si>
  <si>
    <t>Guardian Plumbing &amp; Drain Group</t>
  </si>
  <si>
    <t>Grace Castillo</t>
  </si>
  <si>
    <t>(213) 555-1219</t>
  </si>
  <si>
    <t>gcastillo@guardianplumbingdr.com</t>
  </si>
  <si>
    <t>Sunset Plumbing &amp; Drain Systems</t>
  </si>
  <si>
    <t>Kevin Hughes</t>
  </si>
  <si>
    <t>(818) 555-1167</t>
  </si>
  <si>
    <t>khughes@sunsetplumbingdrai.com</t>
  </si>
  <si>
    <t>Zenith Plumbing &amp; Drain Corp.</t>
  </si>
  <si>
    <t>Gloria Lee</t>
  </si>
  <si>
    <t>(323) 555-1642</t>
  </si>
  <si>
    <t>glee@zenithplumbingdrai.com</t>
  </si>
  <si>
    <t>Beacon Guard Services Contractors</t>
  </si>
  <si>
    <t>Kevin Jordan</t>
  </si>
  <si>
    <t>(818) 555-1261</t>
  </si>
  <si>
    <t>kjordan@beaconguardservice.com</t>
  </si>
  <si>
    <t>Downtown LA Guard Services LLC</t>
  </si>
  <si>
    <t>Rachel Ali</t>
  </si>
  <si>
    <t>(310) 555-1222</t>
  </si>
  <si>
    <t>rali@downtownlaguardser.com</t>
  </si>
  <si>
    <t>Elite Security Inc.</t>
  </si>
  <si>
    <t>Gary Torres</t>
  </si>
  <si>
    <t>(310) 555-1874</t>
  </si>
  <si>
    <t>gtorres@elitesecurityinc.com</t>
  </si>
  <si>
    <t>Everest Guard Services Associates</t>
  </si>
  <si>
    <t>Daniel Wong</t>
  </si>
  <si>
    <t>(562) 555-1868</t>
  </si>
  <si>
    <t>dwong@everestguardservic.com</t>
  </si>
  <si>
    <t>Pinnacle Guard Services Services</t>
  </si>
  <si>
    <t>Raymond Martinez</t>
  </si>
  <si>
    <t>(310) 555-1308</t>
  </si>
  <si>
    <t>rmartinez@pinnacleguardservi.com</t>
  </si>
  <si>
    <t>Pioneer Protective Services LLC</t>
  </si>
  <si>
    <t>Kevin Reyes</t>
  </si>
  <si>
    <t>(818) 555-1678</t>
  </si>
  <si>
    <t>kreyes@pioneerprotectives.com</t>
  </si>
  <si>
    <t>Sequoia Cleaning Services Partners</t>
  </si>
  <si>
    <t>Janitorial Services</t>
  </si>
  <si>
    <t>Robert Torres</t>
  </si>
  <si>
    <t>(323) 555-1419</t>
  </si>
  <si>
    <t>rtorres@sequoiacleaningser.com</t>
  </si>
  <si>
    <t>Vertex Landscaping Contractors</t>
  </si>
  <si>
    <t>Diana Mehta</t>
  </si>
  <si>
    <t>(310) 555-1120</t>
  </si>
  <si>
    <t>dmehta@vertexlandscapingc.com</t>
  </si>
  <si>
    <t>Coastal Locksmith Solutions</t>
  </si>
  <si>
    <t>David Ford</t>
  </si>
  <si>
    <t>(213) 555-1403</t>
  </si>
  <si>
    <t>dford@coastallocksmithso.com</t>
  </si>
  <si>
    <t>All-Star Facility Services Contractors</t>
  </si>
  <si>
    <t>Maintenance &amp; Cleaning</t>
  </si>
  <si>
    <t>Linda Nakamura</t>
  </si>
  <si>
    <t>(310) 555-1344</t>
  </si>
  <si>
    <t>lnakamura@allstarfacilityser.com</t>
  </si>
  <si>
    <t>Lincoln Painting LLC</t>
  </si>
  <si>
    <t>Painting</t>
  </si>
  <si>
    <t>James Jordan</t>
  </si>
  <si>
    <t>jjordan@lincolnpaintingllc.com</t>
  </si>
  <si>
    <t>Coastal Pest Solutions Corp.</t>
  </si>
  <si>
    <t>Pest Control</t>
  </si>
  <si>
    <t>Angela Brown</t>
  </si>
  <si>
    <t>(310) 555-1446</t>
  </si>
  <si>
    <t>abrown@coastalpestsolutio.com</t>
  </si>
  <si>
    <t>Apex Apparel Group</t>
  </si>
  <si>
    <t>Uniform &amp; Linen</t>
  </si>
  <si>
    <t>(562) 555-1333</t>
  </si>
  <si>
    <t>srobinson@apexapparelgroup.com</t>
  </si>
  <si>
    <t>Priya Kapoor</t>
  </si>
  <si>
    <t>Redline Elevator Systems</t>
  </si>
  <si>
    <t>Andrew Johnson</t>
  </si>
  <si>
    <t>(213) 555-1453</t>
  </si>
  <si>
    <t>ajohnson@redlineelevatorsys.com</t>
  </si>
  <si>
    <t>Allied Life</t>
  </si>
  <si>
    <t>(213) 555-1480</t>
  </si>
  <si>
    <t>sbautista@alliedlife.com</t>
  </si>
  <si>
    <t>Silverline Fire Systems Partners</t>
  </si>
  <si>
    <t>Mark Flores</t>
  </si>
  <si>
    <t>(818) 555-1318</t>
  </si>
  <si>
    <t>mflores@silverlinefiresyst.com</t>
  </si>
  <si>
    <t>Anchor Cooling &amp; Heating Group</t>
  </si>
  <si>
    <t>Susan Martinez</t>
  </si>
  <si>
    <t>(213) 555-1032</t>
  </si>
  <si>
    <t>smartinez@anchorcoolingheati.com</t>
  </si>
  <si>
    <t>Metro Air Group</t>
  </si>
  <si>
    <t>Nancy Wilson</t>
  </si>
  <si>
    <t>(323) 555-1794</t>
  </si>
  <si>
    <t>nwilson@metroairgroup.com</t>
  </si>
  <si>
    <t>Citywide Data</t>
  </si>
  <si>
    <t>Robert Wong</t>
  </si>
  <si>
    <t>(213) 555-1551</t>
  </si>
  <si>
    <t>rwong@citywidedata.com</t>
  </si>
  <si>
    <t>All-Star Piping Associates</t>
  </si>
  <si>
    <t>Bella Ford</t>
  </si>
  <si>
    <t>(213) 555-1885</t>
  </si>
  <si>
    <t>bford@allstarpipingassoc.com</t>
  </si>
  <si>
    <t>Union Security Contractors</t>
  </si>
  <si>
    <t>(562) 555-1488</t>
  </si>
  <si>
    <t>eford@unionsecuritycontr.com</t>
  </si>
  <si>
    <t>Coastal Media Systems Group</t>
  </si>
  <si>
    <t>Curtis Ramirez</t>
  </si>
  <si>
    <t>(323) 555-1915</t>
  </si>
  <si>
    <t>cramirez@coastalmediasystem.com</t>
  </si>
  <si>
    <t>Frontier Production Group</t>
  </si>
  <si>
    <t>Patricia Cohen</t>
  </si>
  <si>
    <t>(562) 555-1311</t>
  </si>
  <si>
    <t>pcohen@frontierproduction.com</t>
  </si>
  <si>
    <t>Premier Media Systems LLC</t>
  </si>
  <si>
    <t>David Wilson</t>
  </si>
  <si>
    <t>dwilson@premiermediasystem.com</t>
  </si>
  <si>
    <t>Reliable AV Group</t>
  </si>
  <si>
    <t>Michael Cohen</t>
  </si>
  <si>
    <t>(323) 555-1799</t>
  </si>
  <si>
    <t>mcohen@reliableavgroup.com</t>
  </si>
  <si>
    <t>Beacon Kitchen Systems LLC</t>
  </si>
  <si>
    <t>Lisa Gonzalez</t>
  </si>
  <si>
    <t>(818) 555-1857</t>
  </si>
  <si>
    <t>lgonzalez@beaconkitchensyste.com</t>
  </si>
  <si>
    <t>Blue Diamond Kitchen Systems Contractors</t>
  </si>
  <si>
    <t>Theresa Garcia</t>
  </si>
  <si>
    <t>(562) 555-1954</t>
  </si>
  <si>
    <t>tgarcia@bluediamondkitchen.com</t>
  </si>
  <si>
    <t>Crown Kitchen Systems Partners</t>
  </si>
  <si>
    <t>Robert Sullivan</t>
  </si>
  <si>
    <t>(213) 555-1940</t>
  </si>
  <si>
    <t>rsullivan@crownkitchensystem.com</t>
  </si>
  <si>
    <t>Pacific Concession Services Corp.</t>
  </si>
  <si>
    <t>Eric Mehta</t>
  </si>
  <si>
    <t>(424) 555-1566</t>
  </si>
  <si>
    <t>emehta@pacificconcessions.com</t>
  </si>
  <si>
    <t>Premier Food Equipment Group</t>
  </si>
  <si>
    <t>Anthony Delgado</t>
  </si>
  <si>
    <t>(310) 555-1778</t>
  </si>
  <si>
    <t>adelgado@premierfoodequipme.com</t>
  </si>
  <si>
    <t>Vanguard Food Equipment LLC</t>
  </si>
  <si>
    <t>Michael Nakamura</t>
  </si>
  <si>
    <t>(818) 555-1993</t>
  </si>
  <si>
    <t>mnakamura@vanguardfoodequipm.com</t>
  </si>
  <si>
    <t>Coastal Floor Care Systems</t>
  </si>
  <si>
    <t>Flooring</t>
  </si>
  <si>
    <t>Robert Rivera</t>
  </si>
  <si>
    <t>(323) 555-1587</t>
  </si>
  <si>
    <t>rrivera@coastalfloorcaresy.com</t>
  </si>
  <si>
    <t>Union Flooring Company</t>
  </si>
  <si>
    <t>Diana Bautista</t>
  </si>
  <si>
    <t>(213) 555-1890</t>
  </si>
  <si>
    <t>dbautista@unionflooringcompa.com</t>
  </si>
  <si>
    <t>Harbor Custodial Company</t>
  </si>
  <si>
    <t>Linda Jordan</t>
  </si>
  <si>
    <t>(213) 555-1812</t>
  </si>
  <si>
    <t>ljordan@harborcustodialcom.com</t>
  </si>
  <si>
    <t>Liberty Custodial Inc.</t>
  </si>
  <si>
    <t>Paul Davis</t>
  </si>
  <si>
    <t>(818) 555-1849</t>
  </si>
  <si>
    <t>pdavis@libertycustodialin.com</t>
  </si>
  <si>
    <t>Coastal Grounds Group</t>
  </si>
  <si>
    <t>Denise Garcia</t>
  </si>
  <si>
    <t>(213) 555-1155</t>
  </si>
  <si>
    <t>dgarcia@coastalgroundsgrou.com</t>
  </si>
  <si>
    <t>Crown Landscape Solutions</t>
  </si>
  <si>
    <t>Nancy Gonzalez</t>
  </si>
  <si>
    <t>(424) 555-1811</t>
  </si>
  <si>
    <t>ngonzalez@crownlandscapesolu.com</t>
  </si>
  <si>
    <t>Fairview Grounds</t>
  </si>
  <si>
    <t>James Ford</t>
  </si>
  <si>
    <t>(323) 555-1232</t>
  </si>
  <si>
    <t>jford@fairviewgrounds.com</t>
  </si>
  <si>
    <t>Premier Grounds Inc.</t>
  </si>
  <si>
    <t>(310) 555-1906</t>
  </si>
  <si>
    <t>jnakamura@premiergroundsinc.com</t>
  </si>
  <si>
    <t>Coastal Lock &amp; Key Co.</t>
  </si>
  <si>
    <t>(310) 555-1966</t>
  </si>
  <si>
    <t>mrobinson@coastallockkeyco.com</t>
  </si>
  <si>
    <t>Summit Locksmith Corp.</t>
  </si>
  <si>
    <t>Steven Hayes</t>
  </si>
  <si>
    <t>(213) 555-1094</t>
  </si>
  <si>
    <t>shayes@summitlocksmithcor.com</t>
  </si>
  <si>
    <t>Everest Painting Company</t>
  </si>
  <si>
    <t>(323) 555-1932</t>
  </si>
  <si>
    <t>trobinson@everestpaintingcom.com</t>
  </si>
  <si>
    <t>Evergreen Coatings Enterprises</t>
  </si>
  <si>
    <t>Sandra Brown</t>
  </si>
  <si>
    <t>(213) 555-1959</t>
  </si>
  <si>
    <t>sbrown@evergreencoatingse.com</t>
  </si>
  <si>
    <t>Redline Painting Partners</t>
  </si>
  <si>
    <t>Robert Ramirez</t>
  </si>
  <si>
    <t>(818) 555-1502</t>
  </si>
  <si>
    <t>rramirez@redlinepaintingpar.com</t>
  </si>
  <si>
    <t>Allied Traffic Systems Inc.</t>
  </si>
  <si>
    <t>Parking &amp; Traffic</t>
  </si>
  <si>
    <t>Eric Bautista</t>
  </si>
  <si>
    <t>(818) 555-1278</t>
  </si>
  <si>
    <t>ebautista@alliedtrafficsyste.com</t>
  </si>
  <si>
    <t>Liberty Traffic Systems Co.</t>
  </si>
  <si>
    <t>Ashley Castillo</t>
  </si>
  <si>
    <t>(323) 555-1644</t>
  </si>
  <si>
    <t>acastillo@libertytrafficsyst.com</t>
  </si>
  <si>
    <t>ProCare Parking Enterprises</t>
  </si>
  <si>
    <t>Nina Lopez</t>
  </si>
  <si>
    <t>(818) 555-1362</t>
  </si>
  <si>
    <t>nlopez@procareparkingente.com</t>
  </si>
  <si>
    <t>Silverline Pest</t>
  </si>
  <si>
    <t>Jose Hughes</t>
  </si>
  <si>
    <t>(562) 555-1168</t>
  </si>
  <si>
    <t>jhughes@silverlinepest.com</t>
  </si>
  <si>
    <t>Anchor Roofing Enterprises</t>
  </si>
  <si>
    <t>Roofing</t>
  </si>
  <si>
    <t>Kevin Ali</t>
  </si>
  <si>
    <t>(323) 555-1778</t>
  </si>
  <si>
    <t>kali@anchorroofingenter.com</t>
  </si>
  <si>
    <t>Monarch Roof Systems Company</t>
  </si>
  <si>
    <t>Robert Wilson</t>
  </si>
  <si>
    <t>(562) 555-1552</t>
  </si>
  <si>
    <t>rwilson@monarchroofsystems.com</t>
  </si>
  <si>
    <t>Monarch Roofworks Co.</t>
  </si>
  <si>
    <t>Omar Nguyen</t>
  </si>
  <si>
    <t>(323) 555-1926</t>
  </si>
  <si>
    <t>onguyen@monarchroofworksco.com</t>
  </si>
  <si>
    <t>Precision Roofworks Inc.</t>
  </si>
  <si>
    <t>Denise Lee</t>
  </si>
  <si>
    <t>dlee@precisionroofworks.com</t>
  </si>
  <si>
    <t>Harbor Signage Corp.</t>
  </si>
  <si>
    <t>Signage &amp; Graphics</t>
  </si>
  <si>
    <t>Rachel Park</t>
  </si>
  <si>
    <t>(213) 555-1100</t>
  </si>
  <si>
    <t>rpark@harborsignagecorp.com</t>
  </si>
  <si>
    <t>Monarch Signage Co.</t>
  </si>
  <si>
    <t>Jose Lee</t>
  </si>
  <si>
    <t>(310) 555-1383</t>
  </si>
  <si>
    <t>jlee@monarchsignageco.com</t>
  </si>
  <si>
    <t>Allied Uniform Solutions</t>
  </si>
  <si>
    <t>(424) 555-1334</t>
  </si>
  <si>
    <t>pkim@allieduniformsolut.com</t>
  </si>
  <si>
    <t>Guardian Uniform Enterprises</t>
  </si>
  <si>
    <t>Karen Singh</t>
  </si>
  <si>
    <t>(424) 555-1823</t>
  </si>
  <si>
    <t>ksingh@guardianuniforment.com</t>
  </si>
  <si>
    <t>Pacific Apparel Contractors</t>
  </si>
  <si>
    <t>(213) 555-1410</t>
  </si>
  <si>
    <t>jali@pacificapparelcont.com</t>
  </si>
  <si>
    <t>Blue Diamond Disposal Company</t>
  </si>
  <si>
    <t>Waste Management</t>
  </si>
  <si>
    <t>Nancy Robinson</t>
  </si>
  <si>
    <t>(818) 555-1428</t>
  </si>
  <si>
    <t>nrobinson@bluediamonddisposa.com</t>
  </si>
  <si>
    <t>Elite Waste</t>
  </si>
  <si>
    <t>David Castillo</t>
  </si>
  <si>
    <t>(424) 555-1327</t>
  </si>
  <si>
    <t>dcastillo@elitewaste.com</t>
  </si>
  <si>
    <t>Cardinal Water Systems Inc.</t>
  </si>
  <si>
    <t>Raymond Ali</t>
  </si>
  <si>
    <t>(323) 555-1275</t>
  </si>
  <si>
    <t>rali@cardinalwatersyste.com</t>
  </si>
  <si>
    <t>Reliable Water Systems Services</t>
  </si>
  <si>
    <t>Carlos Smith</t>
  </si>
  <si>
    <t>(424) 555-1418</t>
  </si>
  <si>
    <t>csmith@reliablewatersyste.com</t>
  </si>
  <si>
    <t>Sierra Water Systems Company</t>
  </si>
  <si>
    <t>Hector Wilson</t>
  </si>
  <si>
    <t>(310) 555-1808</t>
  </si>
  <si>
    <t>hwilson@sierrawatersystems.com</t>
  </si>
  <si>
    <t>SoCal Water Treatment Group</t>
  </si>
  <si>
    <t>Frank Ford</t>
  </si>
  <si>
    <t>(424) 555-1602</t>
  </si>
  <si>
    <t>fford@socalwatertreatmen.com</t>
  </si>
  <si>
    <t>Anchor Clear View LLC</t>
  </si>
  <si>
    <t>Window Cleaning</t>
  </si>
  <si>
    <t>Frank Bryant</t>
  </si>
  <si>
    <t>(562) 555-1228</t>
  </si>
  <si>
    <t>fbryant@anchorclearviewllc.com</t>
  </si>
  <si>
    <t>Downtown LA Clear View Corp.</t>
  </si>
  <si>
    <t>Raymond Robinson</t>
  </si>
  <si>
    <t>(213) 555-1029</t>
  </si>
  <si>
    <t>rrobinson@downtownlaclearvie.com</t>
  </si>
  <si>
    <t>Everest Window Cleaning Associates</t>
  </si>
  <si>
    <t>Denise Bryant</t>
  </si>
  <si>
    <t>(310) 555-1166</t>
  </si>
  <si>
    <t>dbryant@everestwindowclean.com</t>
  </si>
  <si>
    <t>Damon Fields</t>
  </si>
  <si>
    <t>Premier Power Systems Co.</t>
  </si>
  <si>
    <t>David Martinez</t>
  </si>
  <si>
    <t>(562) 555-1408</t>
  </si>
  <si>
    <t>dmartinez@premierpowersystem.com</t>
  </si>
  <si>
    <t>Liberty Elevator Co.</t>
  </si>
  <si>
    <t>Eric Okafor</t>
  </si>
  <si>
    <t>(310) 555-1705</t>
  </si>
  <si>
    <t>eokafor@libertyelevatorco.com</t>
  </si>
  <si>
    <t>Nova Elevator</t>
  </si>
  <si>
    <t>Joan Patel</t>
  </si>
  <si>
    <t>(424) 555-1704</t>
  </si>
  <si>
    <t>jpatel@novaelevator.com</t>
  </si>
  <si>
    <t>Golden State HVAC Contractors</t>
  </si>
  <si>
    <t>David Hughes</t>
  </si>
  <si>
    <t>(818) 555-1252</t>
  </si>
  <si>
    <t>dhughes@goldenstatehvaccon.com</t>
  </si>
  <si>
    <t>Premier Plumbing &amp; Drain Systems</t>
  </si>
  <si>
    <t>David Lopez</t>
  </si>
  <si>
    <t>(424) 555-1117</t>
  </si>
  <si>
    <t>dlopez@premierplumbingdra.com</t>
  </si>
  <si>
    <t>Allied Guard Services Inc.</t>
  </si>
  <si>
    <t>Grace Ford</t>
  </si>
  <si>
    <t>(562) 555-1696</t>
  </si>
  <si>
    <t>gford@alliedguardservice.com</t>
  </si>
  <si>
    <t>Coastal Guard Services Company</t>
  </si>
  <si>
    <t>Angela Rivera</t>
  </si>
  <si>
    <t>(424) 555-1484</t>
  </si>
  <si>
    <t>arivera@coastalguardservic.com</t>
  </si>
  <si>
    <t>Beacon AV Contractors</t>
  </si>
  <si>
    <t>Michael Gonzalez</t>
  </si>
  <si>
    <t>(323) 555-1171</t>
  </si>
  <si>
    <t>mgonzalez@beaconavcontractor.com</t>
  </si>
  <si>
    <t>Anchor Concession Services Associates</t>
  </si>
  <si>
    <t>Brian Patel</t>
  </si>
  <si>
    <t>(213) 555-1476</t>
  </si>
  <si>
    <t>bpatel@anchorconcessionse.com</t>
  </si>
  <si>
    <t>Apex Kitchen Systems Company</t>
  </si>
  <si>
    <t>(310) 555-1751</t>
  </si>
  <si>
    <t>arivera@apexkitchensystems.com</t>
  </si>
  <si>
    <t>Beacon Kitchen Systems Enterprises</t>
  </si>
  <si>
    <t>Frank Nakamura</t>
  </si>
  <si>
    <t>(323) 555-1522</t>
  </si>
  <si>
    <t>fnakamura@beaconkitchensyste.com</t>
  </si>
  <si>
    <t>Blue Diamond Concession Services Solutions</t>
  </si>
  <si>
    <t>(323) 555-1890</t>
  </si>
  <si>
    <t>crodriguez@bluediamondconcess.com</t>
  </si>
  <si>
    <t>Coastal Kitchen</t>
  </si>
  <si>
    <t>Priya Delgado</t>
  </si>
  <si>
    <t>(562) 555-1332</t>
  </si>
  <si>
    <t>pdelgado@coastalkitchen.com</t>
  </si>
  <si>
    <t>Coastal Kitchen Systems Partners</t>
  </si>
  <si>
    <t>Lisa Reyes</t>
  </si>
  <si>
    <t>(562) 555-1702</t>
  </si>
  <si>
    <t>lreyes@coastalkitchensyst.com</t>
  </si>
  <si>
    <t>Elite Food Equipment Inc.</t>
  </si>
  <si>
    <t>Brian Robinson</t>
  </si>
  <si>
    <t>(818) 555-1956</t>
  </si>
  <si>
    <t>brobinson@elitefoodequipment.com</t>
  </si>
  <si>
    <t>Premier Food Equipment Services</t>
  </si>
  <si>
    <t>Jennifer Bryant</t>
  </si>
  <si>
    <t>(213) 555-1623</t>
  </si>
  <si>
    <t>jbryant@premierfoodequipme.com</t>
  </si>
  <si>
    <t>Union Concession Services Group</t>
  </si>
  <si>
    <t>Gary Wong</t>
  </si>
  <si>
    <t>(213) 555-1634</t>
  </si>
  <si>
    <t>gwong@unionconcessionser.com</t>
  </si>
  <si>
    <t>Pinnacle Flooring Group</t>
  </si>
  <si>
    <t>Lisa Delgado</t>
  </si>
  <si>
    <t>(213) 555-1167</t>
  </si>
  <si>
    <t>ldelgado@pinnacleflooringgr.com</t>
  </si>
  <si>
    <t>SoCal Surfaces LLC</t>
  </si>
  <si>
    <t>Robert Bryant</t>
  </si>
  <si>
    <t>(562) 555-1165</t>
  </si>
  <si>
    <t>rbryant@socalsurfacesllc.com</t>
  </si>
  <si>
    <t>Pioneer Custodial</t>
  </si>
  <si>
    <t>Raymond Smith</t>
  </si>
  <si>
    <t>(213) 555-1013</t>
  </si>
  <si>
    <t>rsmith@pioneercustodial.com</t>
  </si>
  <si>
    <t>Grand Grounds Company</t>
  </si>
  <si>
    <t>James Castillo</t>
  </si>
  <si>
    <t>(310) 555-1828</t>
  </si>
  <si>
    <t>jcastillo@grandgroundscompan.com</t>
  </si>
  <si>
    <t>Harbor Grounds Services</t>
  </si>
  <si>
    <t>Monica Mehta</t>
  </si>
  <si>
    <t>(424) 555-1910</t>
  </si>
  <si>
    <t>mmehta@harborgroundsservi.com</t>
  </si>
  <si>
    <t>Premier Grounds Enterprises</t>
  </si>
  <si>
    <t>Nancy Smith</t>
  </si>
  <si>
    <t>(562) 555-1282</t>
  </si>
  <si>
    <t>nsmith@premiergroundsente.com</t>
  </si>
  <si>
    <t>ProCare Locksmith Group</t>
  </si>
  <si>
    <t>Nina Ford</t>
  </si>
  <si>
    <t>(310) 555-1168</t>
  </si>
  <si>
    <t>nford@procarelocksmithgr.com</t>
  </si>
  <si>
    <t>Nova Facility Services Corp.</t>
  </si>
  <si>
    <t>Monica Nakamura</t>
  </si>
  <si>
    <t>(562) 555-1020</t>
  </si>
  <si>
    <t>mnakamura@novafacilityservic.com</t>
  </si>
  <si>
    <t>ProCare Facility Services Enterprises</t>
  </si>
  <si>
    <t>Ashley Johnson</t>
  </si>
  <si>
    <t>(424) 555-1043</t>
  </si>
  <si>
    <t>ajohnson@procarefacilityser.com</t>
  </si>
  <si>
    <t>Union Facility Services Co.</t>
  </si>
  <si>
    <t>Omar Vasquez</t>
  </si>
  <si>
    <t>(323) 555-1977</t>
  </si>
  <si>
    <t>ovasquez@unionfacilityservi.com</t>
  </si>
  <si>
    <t>Westside Building Care Corp.</t>
  </si>
  <si>
    <t>Carlos Nakamura</t>
  </si>
  <si>
    <t>(562) 555-1442</t>
  </si>
  <si>
    <t>cnakamura@westsidebuildingca.com</t>
  </si>
  <si>
    <t>Beacon Painting</t>
  </si>
  <si>
    <t>Joan Smith</t>
  </si>
  <si>
    <t>(323) 555-1735</t>
  </si>
  <si>
    <t>jsmith@beaconpainting.com</t>
  </si>
  <si>
    <t>Ironclad Paint Works Company</t>
  </si>
  <si>
    <t>Raymond Davis</t>
  </si>
  <si>
    <t>(424) 555-1534</t>
  </si>
  <si>
    <t>rdavis@ironcladpaintworks.com</t>
  </si>
  <si>
    <t>Angel City Traffic Systems Inc.</t>
  </si>
  <si>
    <t>Karen Delgado</t>
  </si>
  <si>
    <t>(323) 555-1611</t>
  </si>
  <si>
    <t>kdelgado@angelcitytrafficsy.com</t>
  </si>
  <si>
    <t>Union Exterminators Company</t>
  </si>
  <si>
    <t>Steven Reyes</t>
  </si>
  <si>
    <t>(424) 555-1339</t>
  </si>
  <si>
    <t>sreyes@unionexterminators.com</t>
  </si>
  <si>
    <t>All-Star Roofing</t>
  </si>
  <si>
    <t>Ashley Adams</t>
  </si>
  <si>
    <t>(213) 555-1712</t>
  </si>
  <si>
    <t>aadams@allstarroofing.com</t>
  </si>
  <si>
    <t>Evergreen Roofing Corp.</t>
  </si>
  <si>
    <t>Maria Ramirez</t>
  </si>
  <si>
    <t>(310) 555-1220</t>
  </si>
  <si>
    <t>mramirez@evergreenroofingco.com</t>
  </si>
  <si>
    <t>Ironclad Roofworks Solutions</t>
  </si>
  <si>
    <t>Daniel Foster</t>
  </si>
  <si>
    <t>(310) 555-1384</t>
  </si>
  <si>
    <t>dfoster@ironcladroofworkss.com</t>
  </si>
  <si>
    <t>Sierra Signage Contractors</t>
  </si>
  <si>
    <t>Anthony Vasquez</t>
  </si>
  <si>
    <t>(323) 555-1512</t>
  </si>
  <si>
    <t>avasquez@sierrasignagecontr.com</t>
  </si>
  <si>
    <t>Allied Uniform Inc.</t>
  </si>
  <si>
    <t>Brian Okafor</t>
  </si>
  <si>
    <t>(310) 555-1002</t>
  </si>
  <si>
    <t>bokafor@allieduniforminc.com</t>
  </si>
  <si>
    <t>Elite Linen Services Co.</t>
  </si>
  <si>
    <t>Priya Park</t>
  </si>
  <si>
    <t>(818) 555-1357</t>
  </si>
  <si>
    <t>ppark@elitelinenservices.com</t>
  </si>
  <si>
    <t>Pacific Uniform Associates</t>
  </si>
  <si>
    <t>Nina Flores</t>
  </si>
  <si>
    <t>(424) 555-1802</t>
  </si>
  <si>
    <t>nflores@pacificuniformasso.com</t>
  </si>
  <si>
    <t>Vanguard Linen Services LLC</t>
  </si>
  <si>
    <t>Anthony Jordan</t>
  </si>
  <si>
    <t>(310) 555-1889</t>
  </si>
  <si>
    <t>ajordan@vanguardlinenservi.com</t>
  </si>
  <si>
    <t>Apex Recycling Partners</t>
  </si>
  <si>
    <t>Linda Delgado</t>
  </si>
  <si>
    <t>(818) 555-1719</t>
  </si>
  <si>
    <t>ldelgado@apexrecyclingpartn.com</t>
  </si>
  <si>
    <t>Crown Recycling Company</t>
  </si>
  <si>
    <t>Susan Park</t>
  </si>
  <si>
    <t>(310) 555-1641</t>
  </si>
  <si>
    <t>spark@crownrecyclingcomp.com</t>
  </si>
  <si>
    <t>Golden State Disposal LLC</t>
  </si>
  <si>
    <t>Joan Vasquez</t>
  </si>
  <si>
    <t>(323) 555-1986</t>
  </si>
  <si>
    <t>jvasquez@goldenstatedisposa.com</t>
  </si>
  <si>
    <t>Harbor Recycling Services</t>
  </si>
  <si>
    <t>Raymond Flores</t>
  </si>
  <si>
    <t>(323) 555-1271</t>
  </si>
  <si>
    <t>rflores@harborrecyclingser.com</t>
  </si>
  <si>
    <t>Liberty Waste Services Corp.</t>
  </si>
  <si>
    <t>Jennifer Wilson</t>
  </si>
  <si>
    <t>(424) 555-1973</t>
  </si>
  <si>
    <t>jwilson@libertywasteservic.com</t>
  </si>
  <si>
    <t>Sierra Recycling LLC</t>
  </si>
  <si>
    <t>Steven Chen</t>
  </si>
  <si>
    <t>(310) 555-1916</t>
  </si>
  <si>
    <t>schen@sierrarecyclingllc.com</t>
  </si>
  <si>
    <t>Apex Aqua Services Corp.</t>
  </si>
  <si>
    <t>khughes@apexaquaservicesco.com</t>
  </si>
  <si>
    <t>Apex Aqua Services Group</t>
  </si>
  <si>
    <t>Linda Lee</t>
  </si>
  <si>
    <t>(424) 555-1606</t>
  </si>
  <si>
    <t>llee@apexaquaservicesgr.com</t>
  </si>
  <si>
    <t>Sunset Water Treatment Company</t>
  </si>
  <si>
    <t>Nancy Ramirez</t>
  </si>
  <si>
    <t>(818) 555-1438</t>
  </si>
  <si>
    <t>nramirez@sunsetwatertreatme.com</t>
  </si>
  <si>
    <t>Apex Clear View Solutions</t>
  </si>
  <si>
    <t>James Lopez</t>
  </si>
  <si>
    <t>(424) 555-1716</t>
  </si>
  <si>
    <t>jlopez@apexclearviewsolut.com</t>
  </si>
  <si>
    <t>Elite Glass Care Partners</t>
  </si>
  <si>
    <t>Frank Wong</t>
  </si>
  <si>
    <t>(818) 555-1404</t>
  </si>
  <si>
    <t>fwong@eliteglasscarepart.com</t>
  </si>
  <si>
    <t>Reliable Window Cleaning Corp.</t>
  </si>
  <si>
    <t>Daniel Ali</t>
  </si>
  <si>
    <t>dali@reliablewindowclea.com</t>
  </si>
  <si>
    <t>Sterling Glass Care</t>
  </si>
  <si>
    <t>Angela Rodriguez</t>
  </si>
  <si>
    <t>(818) 555-1567</t>
  </si>
  <si>
    <t>arodriguez@sterlingglasscare.com</t>
  </si>
  <si>
    <t>Yuki Tanaka</t>
  </si>
  <si>
    <t>Sequoia Electric Services</t>
  </si>
  <si>
    <t>Karen Park</t>
  </si>
  <si>
    <t>(424) 555-1667</t>
  </si>
  <si>
    <t>kpark@sequoiaelectricser.com</t>
  </si>
  <si>
    <t>Guardian Climate Control Systems</t>
  </si>
  <si>
    <t>Frank Bautista</t>
  </si>
  <si>
    <t>(323) 555-1687</t>
  </si>
  <si>
    <t>fbautista@guardianclimatecon.com</t>
  </si>
  <si>
    <t>Union Air Co.</t>
  </si>
  <si>
    <t>Gloria Park</t>
  </si>
  <si>
    <t>(213) 555-1610</t>
  </si>
  <si>
    <t>gpark@unionairco.com</t>
  </si>
  <si>
    <t>Guardian Network Solutions Enterprises</t>
  </si>
  <si>
    <t>Hector Park</t>
  </si>
  <si>
    <t>(310) 555-1155</t>
  </si>
  <si>
    <t>hpark@guardiannetworksol.com</t>
  </si>
  <si>
    <t>Everest Plumbing &amp; Drain Services</t>
  </si>
  <si>
    <t>Elena Nguyen</t>
  </si>
  <si>
    <t>(818) 555-1555</t>
  </si>
  <si>
    <t>enguyen@everestplumbingdra.com</t>
  </si>
  <si>
    <t>Lincoln Plumbing &amp; Drain Group</t>
  </si>
  <si>
    <t>Linda Davis</t>
  </si>
  <si>
    <t>(310) 555-1158</t>
  </si>
  <si>
    <t>ldavis@lincolnplumbingdra.com</t>
  </si>
  <si>
    <t>Silverline Plumbing &amp; Drain Solutions</t>
  </si>
  <si>
    <t>Rachel Navarro</t>
  </si>
  <si>
    <t>(213) 555-1142</t>
  </si>
  <si>
    <t>rnavarro@silverlineplumbing.com</t>
  </si>
  <si>
    <t>All-Star Production Associates</t>
  </si>
  <si>
    <t>Denise Davis</t>
  </si>
  <si>
    <t>(310) 555-1284</t>
  </si>
  <si>
    <t>ddavis@allstarproductiona.com</t>
  </si>
  <si>
    <t>Citywide Production Company</t>
  </si>
  <si>
    <t>Maria Bryant</t>
  </si>
  <si>
    <t>(424) 555-1070</t>
  </si>
  <si>
    <t>mbryant@citywideproduction.com</t>
  </si>
  <si>
    <t>Guardian Production Enterprises</t>
  </si>
  <si>
    <t>Jose Smith</t>
  </si>
  <si>
    <t>(310) 555-1289</t>
  </si>
  <si>
    <t>jsmith@guardianproduction.com</t>
  </si>
  <si>
    <t>Sterling Production LLC</t>
  </si>
  <si>
    <t>(562) 555-1960</t>
  </si>
  <si>
    <t>ngonzalez@sterlingproduction.com</t>
  </si>
  <si>
    <t>Apex Kitchen Systems LLC</t>
  </si>
  <si>
    <t>(323) 555-1605</t>
  </si>
  <si>
    <t>kpark@apexkitchensystems.com</t>
  </si>
  <si>
    <t>Grand Concession Services Inc.</t>
  </si>
  <si>
    <t>Angela Bryant</t>
  </si>
  <si>
    <t>(323) 555-1314</t>
  </si>
  <si>
    <t>abryant@grandconcessionser.com</t>
  </si>
  <si>
    <t>Monarch Kitchen Systems Co.</t>
  </si>
  <si>
    <t>Maria Wong</t>
  </si>
  <si>
    <t>(818) 555-1132</t>
  </si>
  <si>
    <t>mwong@monarchkitchensyst.com</t>
  </si>
  <si>
    <t>Nova Food Equipment Inc.</t>
  </si>
  <si>
    <t>Denise Smith</t>
  </si>
  <si>
    <t>(310) 555-1514</t>
  </si>
  <si>
    <t>dsmith@novafoodequipmenti.com</t>
  </si>
  <si>
    <t>Sierra Kitchen Systems Services</t>
  </si>
  <si>
    <t>Angela Hughes</t>
  </si>
  <si>
    <t>(310) 555-1907</t>
  </si>
  <si>
    <t>ahughes@sierrakitchensyste.com</t>
  </si>
  <si>
    <t>Sterling Concession Services Enterprises</t>
  </si>
  <si>
    <t>Diana Wong</t>
  </si>
  <si>
    <t>(323) 555-1827</t>
  </si>
  <si>
    <t>dwong@sterlingconcession.com</t>
  </si>
  <si>
    <t>Reliable Surfaces Co.</t>
  </si>
  <si>
    <t>Curtis Mehta</t>
  </si>
  <si>
    <t>(213) 555-1600</t>
  </si>
  <si>
    <t>cmehta@reliablesurfacesco.com</t>
  </si>
  <si>
    <t>Anchor Landscaping Partners</t>
  </si>
  <si>
    <t>Brian Navarro</t>
  </si>
  <si>
    <t>(562) 555-1115</t>
  </si>
  <si>
    <t>bnavarro@anchorlandscapingp.com</t>
  </si>
  <si>
    <t>Coastal Grounds Company</t>
  </si>
  <si>
    <t>Michael Garcia</t>
  </si>
  <si>
    <t>(818) 555-1915</t>
  </si>
  <si>
    <t>mgarcia@coastalgroundscomp.com</t>
  </si>
  <si>
    <t>Summit Landscape Partners</t>
  </si>
  <si>
    <t>Joan Nguyen</t>
  </si>
  <si>
    <t>(310) 555-1475</t>
  </si>
  <si>
    <t>jnguyen@summitlandscapepar.com</t>
  </si>
  <si>
    <t>Summit Landscaping Company</t>
  </si>
  <si>
    <t>(323) 555-1864</t>
  </si>
  <si>
    <t>arivera@summitlandscapingc.com</t>
  </si>
  <si>
    <t>Vanguard Landscaping Solutions</t>
  </si>
  <si>
    <t>Anthony Ramirez</t>
  </si>
  <si>
    <t>(818) 555-1219</t>
  </si>
  <si>
    <t>aramirez@vanguardlandscapin.com</t>
  </si>
  <si>
    <t>Anchor Locksmith Systems</t>
  </si>
  <si>
    <t>Kevin Robinson</t>
  </si>
  <si>
    <t>(562) 555-1101</t>
  </si>
  <si>
    <t>krobinson@anchorlocksmithsys.com</t>
  </si>
  <si>
    <t>Vertex Lock &amp; Key Co.</t>
  </si>
  <si>
    <t>Bella Adams</t>
  </si>
  <si>
    <t>(213) 555-1103</t>
  </si>
  <si>
    <t>badams@vertexlockkeyco.com</t>
  </si>
  <si>
    <t>Angel City</t>
  </si>
  <si>
    <t>Patricia Bryant</t>
  </si>
  <si>
    <t>(818) 555-1413</t>
  </si>
  <si>
    <t>pbryant@angelcity.com</t>
  </si>
  <si>
    <t>Union Building Care Inc.</t>
  </si>
  <si>
    <t>Lisa Johnson</t>
  </si>
  <si>
    <t>(310) 555-1704</t>
  </si>
  <si>
    <t>ljohnson@unionbuildingcarei.com</t>
  </si>
  <si>
    <t>Zenith Facility Services Solutions</t>
  </si>
  <si>
    <t>Priya Vasquez</t>
  </si>
  <si>
    <t>(310) 555-1830</t>
  </si>
  <si>
    <t>pvasquez@zenithfacilityserv.com</t>
  </si>
  <si>
    <t>Angel City Coatings Enterprises</t>
  </si>
  <si>
    <t>Diana Flores</t>
  </si>
  <si>
    <t>(310) 555-1484</t>
  </si>
  <si>
    <t>dflores@angelcitycoatingse.com</t>
  </si>
  <si>
    <t>Grand Coatings Inc.</t>
  </si>
  <si>
    <t>Elena Lopez</t>
  </si>
  <si>
    <t>(310) 555-1909</t>
  </si>
  <si>
    <t>elopez@grandcoatingsinc.com</t>
  </si>
  <si>
    <t>Golden State Mobility Solutions</t>
  </si>
  <si>
    <t>Bella Garcia</t>
  </si>
  <si>
    <t>(424) 555-1072</t>
  </si>
  <si>
    <t>bgarcia@goldenstatemobilit.com</t>
  </si>
  <si>
    <t>Golden State Traffic Systems Inc.</t>
  </si>
  <si>
    <t>David Robinson</t>
  </si>
  <si>
    <t>(323) 555-1602</t>
  </si>
  <si>
    <t>drobinson@goldenstatetraffic.com</t>
  </si>
  <si>
    <t>Pioneer Traffic Systems Contractors</t>
  </si>
  <si>
    <t>(323) 555-1835</t>
  </si>
  <si>
    <t>lrodriguez@pioneertrafficsyst.com</t>
  </si>
  <si>
    <t>Premier Mobility Contractors</t>
  </si>
  <si>
    <t>Denise Ramirez</t>
  </si>
  <si>
    <t>(310) 555-1403</t>
  </si>
  <si>
    <t>dramirez@premiermobilitycon.com</t>
  </si>
  <si>
    <t>Angel City Exterminators LLC</t>
  </si>
  <si>
    <t>Linda Torres</t>
  </si>
  <si>
    <t>(323) 555-1551</t>
  </si>
  <si>
    <t>ltorres@angelcityextermina.com</t>
  </si>
  <si>
    <t>Coastal Pest Control Corp.</t>
  </si>
  <si>
    <t>Frank Lee</t>
  </si>
  <si>
    <t>(562) 555-1220</t>
  </si>
  <si>
    <t>flee@coastalpestcontrol.com</t>
  </si>
  <si>
    <t>Golden State Pest Control Enterprises</t>
  </si>
  <si>
    <t>(424) 555-1245</t>
  </si>
  <si>
    <t>nrivera@goldenstatepestcon.com</t>
  </si>
  <si>
    <t>Titan Pest Control Solutions</t>
  </si>
  <si>
    <t>Elena Sullivan</t>
  </si>
  <si>
    <t>(323) 555-1179</t>
  </si>
  <si>
    <t>esullivan@titanpestcontrolso.com</t>
  </si>
  <si>
    <t>Lincoln Roofworks</t>
  </si>
  <si>
    <t>Kevin Gonzalez</t>
  </si>
  <si>
    <t>(818) 555-1657</t>
  </si>
  <si>
    <t>kgonzalez@lincolnroofworks.com</t>
  </si>
  <si>
    <t>Premier Roof Systems Partners</t>
  </si>
  <si>
    <t>Sandra Reyes</t>
  </si>
  <si>
    <t>(310) 555-1573</t>
  </si>
  <si>
    <t>sreyes@premierroofsystems.com</t>
  </si>
  <si>
    <t>Union Roofing Partners</t>
  </si>
  <si>
    <t>Eric Foster</t>
  </si>
  <si>
    <t>(213) 555-1913</t>
  </si>
  <si>
    <t>efoster@unionroofingpartne.com</t>
  </si>
  <si>
    <t>Angel City Signage LLC</t>
  </si>
  <si>
    <t>Diana Park</t>
  </si>
  <si>
    <t>(424) 555-1261</t>
  </si>
  <si>
    <t>dpark@angelcitysignagell.com</t>
  </si>
  <si>
    <t>Grand Signage LLC</t>
  </si>
  <si>
    <t>Priya Smith</t>
  </si>
  <si>
    <t>(310) 555-1043</t>
  </si>
  <si>
    <t>psmith@grandsignagellc.com</t>
  </si>
  <si>
    <t>Cardinal Linen Services Systems</t>
  </si>
  <si>
    <t>Sandra Ford</t>
  </si>
  <si>
    <t>(213) 555-1091</t>
  </si>
  <si>
    <t>sford@cardinallinenservi.com</t>
  </si>
  <si>
    <t>Lincoln Apparel Co.</t>
  </si>
  <si>
    <t>Daniel Garcia</t>
  </si>
  <si>
    <t>(310) 555-1111</t>
  </si>
  <si>
    <t>dgarcia@lincolnapparelco.com</t>
  </si>
  <si>
    <t>Frontier Disposal Associates</t>
  </si>
  <si>
    <t>Robert Martinez</t>
  </si>
  <si>
    <t>(213) 555-1024</t>
  </si>
  <si>
    <t>rmartinez@frontierdisposalas.com</t>
  </si>
  <si>
    <t>Guardian Waste Services Inc.</t>
  </si>
  <si>
    <t>Angela Okafor</t>
  </si>
  <si>
    <t>(310) 555-1566</t>
  </si>
  <si>
    <t>aokafor@guardianwasteservi.com</t>
  </si>
  <si>
    <t>Golden State Water Systems Enterprises</t>
  </si>
  <si>
    <t>Frank Johnson</t>
  </si>
  <si>
    <t>(818) 555-1237</t>
  </si>
  <si>
    <t>fjohnson@goldenstatewatersy.com</t>
  </si>
  <si>
    <t>Reliable Water Treatment Co.</t>
  </si>
  <si>
    <t>Jose Delgado</t>
  </si>
  <si>
    <t>(818) 555-1411</t>
  </si>
  <si>
    <t>jdelgado@reliablewatertreat.com</t>
  </si>
  <si>
    <t>Citywide Clear View Inc.</t>
  </si>
  <si>
    <t>Mark Lopez</t>
  </si>
  <si>
    <t>(424) 555-1394</t>
  </si>
  <si>
    <t>mlopez@citywideclearviewi.com</t>
  </si>
  <si>
    <t>Ironclad Glass Care Services</t>
  </si>
  <si>
    <t>Frank Smith</t>
  </si>
  <si>
    <t>(424) 555-1273</t>
  </si>
  <si>
    <t>fsmith@ironcladglasscares.com</t>
  </si>
  <si>
    <t>Lincoln Window Cleaning Group</t>
  </si>
  <si>
    <t>(562) 555-1403</t>
  </si>
  <si>
    <t>ddelgado@lincolnwindowclean.com</t>
  </si>
  <si>
    <t>Redline Window Cleaning Services</t>
  </si>
  <si>
    <t>(213) 555-1348</t>
  </si>
  <si>
    <t>gpark@redlinewindowclean.com</t>
  </si>
  <si>
    <t>Andre Boseman</t>
  </si>
  <si>
    <t>Vanguard Generator Services Contractors</t>
  </si>
  <si>
    <t>Paul Gonzalez</t>
  </si>
  <si>
    <t>(213) 555-1042</t>
  </si>
  <si>
    <t>pgonzalez@vanguardgenerators.com</t>
  </si>
  <si>
    <t>Evergreen Electrical Contractors Corp.</t>
  </si>
  <si>
    <t>Gary Brown</t>
  </si>
  <si>
    <t>(310) 555-1252</t>
  </si>
  <si>
    <t>gbrown@evergreenelectrica.com</t>
  </si>
  <si>
    <t>SoCal Fire Protection Services</t>
  </si>
  <si>
    <t>Daniel Hayes</t>
  </si>
  <si>
    <t>(818) 555-1099</t>
  </si>
  <si>
    <t>dhayes@socalfireprotectio.com</t>
  </si>
  <si>
    <t>Sterling Fire Systems Inc.</t>
  </si>
  <si>
    <t>Brian Lee</t>
  </si>
  <si>
    <t>(310) 555-1268</t>
  </si>
  <si>
    <t>blee@sterlingfiresystem.com</t>
  </si>
  <si>
    <t>Golden State Technologies Services</t>
  </si>
  <si>
    <t>Raymond Garcia</t>
  </si>
  <si>
    <t>(424) 555-1787</t>
  </si>
  <si>
    <t>rgarcia@goldenstatetechnol.com</t>
  </si>
  <si>
    <t>Golden State Technologies Systems</t>
  </si>
  <si>
    <t>Hector Bautista</t>
  </si>
  <si>
    <t>(818) 555-1794</t>
  </si>
  <si>
    <t>hbautista@goldenstatetechnol.com</t>
  </si>
  <si>
    <t>Liberty Security Solutions</t>
  </si>
  <si>
    <t>Omar Ramirez</t>
  </si>
  <si>
    <t>(562) 555-1562</t>
  </si>
  <si>
    <t>oramirez@libertysecuritysol.com</t>
  </si>
  <si>
    <t>Anchor Production Group</t>
  </si>
  <si>
    <t>(562) 555-1447</t>
  </si>
  <si>
    <t>ppark@anchorproductiongr.com</t>
  </si>
  <si>
    <t>Pinnacle AV Company</t>
  </si>
  <si>
    <t>(562) 555-1132</t>
  </si>
  <si>
    <t>ldelgado@pinnacleavcompany.com</t>
  </si>
  <si>
    <t>Sterling Media Systems Contractors</t>
  </si>
  <si>
    <t>rwong@sterlingmediasyste.com</t>
  </si>
  <si>
    <t>Vertex Media Systems Contractors</t>
  </si>
  <si>
    <t>Lisa Foster</t>
  </si>
  <si>
    <t>(310) 555-1679</t>
  </si>
  <si>
    <t>lfoster@vertexmediasystems.com</t>
  </si>
  <si>
    <t>Zenith AV Associates</t>
  </si>
  <si>
    <t>Paul Nakamura</t>
  </si>
  <si>
    <t>(213) 555-1366</t>
  </si>
  <si>
    <t>pnakamura@zenithavassociates.com</t>
  </si>
  <si>
    <t>Downtown LA Kitchen Systems Solutions</t>
  </si>
  <si>
    <t>Karen Okafor</t>
  </si>
  <si>
    <t>(562) 555-1061</t>
  </si>
  <si>
    <t>kokafor@downtownlakitchens.com</t>
  </si>
  <si>
    <t>Lincoln Food Equipment Systems</t>
  </si>
  <si>
    <t>Frank Davis</t>
  </si>
  <si>
    <t>fdavis@lincolnfoodequipme.com</t>
  </si>
  <si>
    <t>SoCal Concession Services Inc.</t>
  </si>
  <si>
    <t>(310) 555-1807</t>
  </si>
  <si>
    <t>arodriguez@socalconcessionser.com</t>
  </si>
  <si>
    <t>Vanguard Food Equipment Enterprises</t>
  </si>
  <si>
    <t>Mark Jordan</t>
  </si>
  <si>
    <t>(818) 555-1215</t>
  </si>
  <si>
    <t>mjordan@vanguardfoodequipm.com</t>
  </si>
  <si>
    <t>Elite Floor Care LLC</t>
  </si>
  <si>
    <t>Angela Torres</t>
  </si>
  <si>
    <t>(310) 555-1854</t>
  </si>
  <si>
    <t>atorres@elitefloorcarellc.com</t>
  </si>
  <si>
    <t>Sequoia Flooring Partners</t>
  </si>
  <si>
    <t>Sandra Wilson</t>
  </si>
  <si>
    <t>(562) 555-1649</t>
  </si>
  <si>
    <t>swilson@sequoiaflooringpar.com</t>
  </si>
  <si>
    <t>Vanguard Surfaces Partners</t>
  </si>
  <si>
    <t>Michael Adams</t>
  </si>
  <si>
    <t>(424) 555-1732</t>
  </si>
  <si>
    <t>madams@vanguardsurfacespa.com</t>
  </si>
  <si>
    <t>Zenith Surfaces Enterprises</t>
  </si>
  <si>
    <t>Gary Cohen</t>
  </si>
  <si>
    <t>gcohen@zenithsurfacesente.com</t>
  </si>
  <si>
    <t>Beacon Custodial Systems</t>
  </si>
  <si>
    <t>Karen Gonzalez</t>
  </si>
  <si>
    <t>(562) 555-1380</t>
  </si>
  <si>
    <t>kgonzalez@beaconcustodialsys.com</t>
  </si>
  <si>
    <t>Blue Diamond Custodial Solutions</t>
  </si>
  <si>
    <t>Theresa Park</t>
  </si>
  <si>
    <t>(323) 555-1025</t>
  </si>
  <si>
    <t>tpark@bluediamondcustodi.com</t>
  </si>
  <si>
    <t>Cardinal Custodial Solutions</t>
  </si>
  <si>
    <t>James Sullivan</t>
  </si>
  <si>
    <t>(310) 555-1798</t>
  </si>
  <si>
    <t>jsullivan@cardinalcustodials.com</t>
  </si>
  <si>
    <t>Coastal Cleaning Services Partners</t>
  </si>
  <si>
    <t>Sandra Singh</t>
  </si>
  <si>
    <t>(213) 555-1176</t>
  </si>
  <si>
    <t>ssingh@coastalcleaningser.com</t>
  </si>
  <si>
    <t>Downtown LA Janitorial Systems</t>
  </si>
  <si>
    <t>Victor Jordan</t>
  </si>
  <si>
    <t>(562) 555-1238</t>
  </si>
  <si>
    <t>vjordan@downtownlajanitori.com</t>
  </si>
  <si>
    <t>Elite Janitorial Group</t>
  </si>
  <si>
    <t>Angela Davis</t>
  </si>
  <si>
    <t>(310) 555-1038</t>
  </si>
  <si>
    <t>adavis@elitejanitorialgro.com</t>
  </si>
  <si>
    <t>Lincoln Cleaning Services Group</t>
  </si>
  <si>
    <t>(213) 555-1776</t>
  </si>
  <si>
    <t>madams@lincolncleaningser.com</t>
  </si>
  <si>
    <t>Allied Landscaping Partners</t>
  </si>
  <si>
    <t>Ashley Delgado</t>
  </si>
  <si>
    <t>(818) 555-1999</t>
  </si>
  <si>
    <t>adelgado@alliedlandscapingp.com</t>
  </si>
  <si>
    <t>Metro Grounds Partners</t>
  </si>
  <si>
    <t>Theresa Mehta</t>
  </si>
  <si>
    <t>(213) 555-1781</t>
  </si>
  <si>
    <t>tmehta@metrogroundspartne.com</t>
  </si>
  <si>
    <t>Redline Grounds Co.</t>
  </si>
  <si>
    <t>Monica Rivera</t>
  </si>
  <si>
    <t>(562) 555-1765</t>
  </si>
  <si>
    <t>mrivera@redlinegroundsco.com</t>
  </si>
  <si>
    <t>Guardian Locksmith Solutions</t>
  </si>
  <si>
    <t>Lisa Bryant</t>
  </si>
  <si>
    <t>(323) 555-1130</t>
  </si>
  <si>
    <t>lbryant@guardianlocksmiths.com</t>
  </si>
  <si>
    <t>Titan Locksmith Corp.</t>
  </si>
  <si>
    <t>Curtis Brown</t>
  </si>
  <si>
    <t>(310) 555-1953</t>
  </si>
  <si>
    <t>cbrown@titanlocksmithcorp.com</t>
  </si>
  <si>
    <t>Westside Locksmith Group</t>
  </si>
  <si>
    <t>Trevor Nakamura</t>
  </si>
  <si>
    <t>(562) 555-1263</t>
  </si>
  <si>
    <t>tnakamura@westsidelocksmithg.com</t>
  </si>
  <si>
    <t>Golden State Building Care Enterprises</t>
  </si>
  <si>
    <t>Omar Adams</t>
  </si>
  <si>
    <t>(213) 555-1393</t>
  </si>
  <si>
    <t>oadams@goldenstatebuildin.com</t>
  </si>
  <si>
    <t>Pinnacle Building Care Solutions</t>
  </si>
  <si>
    <t>Steven Park</t>
  </si>
  <si>
    <t>(323) 555-1920</t>
  </si>
  <si>
    <t>spark@pinnaclebuildingca.com</t>
  </si>
  <si>
    <t>Vanguard Maintenance Corp.</t>
  </si>
  <si>
    <t>(562) 555-1111</t>
  </si>
  <si>
    <t>kgonzalez@vanguardmaintenanc.com</t>
  </si>
  <si>
    <t>Crown Paint Works Group</t>
  </si>
  <si>
    <t>Steven Lopez</t>
  </si>
  <si>
    <t>(562) 555-1559</t>
  </si>
  <si>
    <t>slopez@crownpaintworksgro.com</t>
  </si>
  <si>
    <t>Nova Traffic Systems LLC</t>
  </si>
  <si>
    <t>Susan Gonzalez</t>
  </si>
  <si>
    <t>(562) 555-1544</t>
  </si>
  <si>
    <t>sgonzalez@novatrafficsystems.com</t>
  </si>
  <si>
    <t>Liberty Pest Control Inc.</t>
  </si>
  <si>
    <t>Michael Lee</t>
  </si>
  <si>
    <t>(213) 555-1427</t>
  </si>
  <si>
    <t>mlee@libertypestcontrol.com</t>
  </si>
  <si>
    <t>Metro Pest Control Inc.</t>
  </si>
  <si>
    <t>Susan Wilson</t>
  </si>
  <si>
    <t>(562) 555-1091</t>
  </si>
  <si>
    <t>swilson@metropestcontrolin.com</t>
  </si>
  <si>
    <t>Redline Pest Control Inc.</t>
  </si>
  <si>
    <t>Grace Torres</t>
  </si>
  <si>
    <t>(562) 555-1377</t>
  </si>
  <si>
    <t>gtorres@redlinepestcontrol.com</t>
  </si>
  <si>
    <t>Grand Roofing Company</t>
  </si>
  <si>
    <t>Jose Singh</t>
  </si>
  <si>
    <t>(424) 555-1429</t>
  </si>
  <si>
    <t>jsingh@grandroofingcompan.com</t>
  </si>
  <si>
    <t>Union Signage Contractors</t>
  </si>
  <si>
    <t>Rachel Rivera</t>
  </si>
  <si>
    <t>(562) 555-1412</t>
  </si>
  <si>
    <t>rrivera@unionsignagecontra.com</t>
  </si>
  <si>
    <t>Silverline Apparel Services</t>
  </si>
  <si>
    <t>Andrew Rodriguez</t>
  </si>
  <si>
    <t>(424) 555-1292</t>
  </si>
  <si>
    <t>arodriguez@silverlineapparels.com</t>
  </si>
  <si>
    <t>SoCal Uniform Partners</t>
  </si>
  <si>
    <t>Paul Park</t>
  </si>
  <si>
    <t>(818) 555-1325</t>
  </si>
  <si>
    <t>ppark@socaluniformpartne.com</t>
  </si>
  <si>
    <t>Apex Disposal Services</t>
  </si>
  <si>
    <t>(323) 555-1099</t>
  </si>
  <si>
    <t>jsullivan@apexdisposalservic.com</t>
  </si>
  <si>
    <t>Citywide Disposal Contractors</t>
  </si>
  <si>
    <t>Victor Smith</t>
  </si>
  <si>
    <t>(310) 555-1628</t>
  </si>
  <si>
    <t>vsmith@citywidedisposalco.com</t>
  </si>
  <si>
    <t>Elite Waste Services Services</t>
  </si>
  <si>
    <t>Hector Navarro</t>
  </si>
  <si>
    <t>(213) 555-1566</t>
  </si>
  <si>
    <t>hnavarro@elitewasteservices.com</t>
  </si>
  <si>
    <t>Evergreen Recycling Contractors</t>
  </si>
  <si>
    <t>Raymond Johnson</t>
  </si>
  <si>
    <t>(424) 555-1271</t>
  </si>
  <si>
    <t>rjohnson@evergreenrecycling.com</t>
  </si>
  <si>
    <t>Reliable Recycling Services</t>
  </si>
  <si>
    <t>Andrew Rivera</t>
  </si>
  <si>
    <t>(424) 555-1527</t>
  </si>
  <si>
    <t>arivera@reliablerecyclings.com</t>
  </si>
  <si>
    <t>Harbor Water Treatment Inc.</t>
  </si>
  <si>
    <t>Maria Davis</t>
  </si>
  <si>
    <t>(310) 555-1093</t>
  </si>
  <si>
    <t>mdavis@harborwatertreatme.com</t>
  </si>
  <si>
    <t>First Class Glass Care</t>
  </si>
  <si>
    <t>Raymond Wong</t>
  </si>
  <si>
    <t>(818) 555-1212</t>
  </si>
  <si>
    <t>rwong@firstclassglasscar.com</t>
  </si>
  <si>
    <t>Sterling Glass</t>
  </si>
  <si>
    <t>(323) 555-1495</t>
  </si>
  <si>
    <t>cwilson@sterlingglass.com</t>
  </si>
  <si>
    <t>Hannah Whitlock</t>
  </si>
  <si>
    <t>Evergreen Electric Partners</t>
  </si>
  <si>
    <t>Joan Martinez</t>
  </si>
  <si>
    <t>(562) 555-1989</t>
  </si>
  <si>
    <t>jmartinez@evergreenelectricp.com</t>
  </si>
  <si>
    <t>Monarch Electrical Company</t>
  </si>
  <si>
    <t>(213) 555-1963</t>
  </si>
  <si>
    <t>nadams@monarchelectricalc.com</t>
  </si>
  <si>
    <t>SoCal Vertical Transport Systems</t>
  </si>
  <si>
    <t>Paul Singh</t>
  </si>
  <si>
    <t>(818) 555-1952</t>
  </si>
  <si>
    <t>psingh@socalverticaltrans.com</t>
  </si>
  <si>
    <t>Coastal Climate</t>
  </si>
  <si>
    <t>James Flores</t>
  </si>
  <si>
    <t>(562) 555-1413</t>
  </si>
  <si>
    <t>jflores@coastalclimate.com</t>
  </si>
  <si>
    <t>Citywide Data Systems Associates</t>
  </si>
  <si>
    <t>Sandra Okafor</t>
  </si>
  <si>
    <t>(213) 555-1317</t>
  </si>
  <si>
    <t>sokafor@citywidedatasystem.com</t>
  </si>
  <si>
    <t>Sierra Piping Systems</t>
  </si>
  <si>
    <t>Eric Park</t>
  </si>
  <si>
    <t>(323) 555-1796</t>
  </si>
  <si>
    <t>epark@sierrapipingsystem.com</t>
  </si>
  <si>
    <t>Vanguard Piping Systems</t>
  </si>
  <si>
    <t>Hector Chen</t>
  </si>
  <si>
    <t>(213) 555-1099</t>
  </si>
  <si>
    <t>hchen@vanguardpipingsyst.com</t>
  </si>
  <si>
    <t>ProCare Media Systems Enterprises</t>
  </si>
  <si>
    <t>(562) 555-1955</t>
  </si>
  <si>
    <t>vsmith@procaremediasystem.com</t>
  </si>
  <si>
    <t>Sunset Production Contractors</t>
  </si>
  <si>
    <t>Victor Nakamura</t>
  </si>
  <si>
    <t>(818) 555-1040</t>
  </si>
  <si>
    <t>vnakamura@sunsetproductionco.com</t>
  </si>
  <si>
    <t>Reliable Concession Services Enterprises</t>
  </si>
  <si>
    <t>Gary Lopez</t>
  </si>
  <si>
    <t>(310) 555-1366</t>
  </si>
  <si>
    <t>glopez@reliableconcession.com</t>
  </si>
  <si>
    <t>Vertex Food Equipment Solutions</t>
  </si>
  <si>
    <t>Diana Smith</t>
  </si>
  <si>
    <t>dsmith@vertexfoodequipmen.com</t>
  </si>
  <si>
    <t>All-Star Flooring Contractors</t>
  </si>
  <si>
    <t>(562) 555-1749</t>
  </si>
  <si>
    <t>oadams@allstarflooringcon.com</t>
  </si>
  <si>
    <t>Guardian Surfaces Solutions</t>
  </si>
  <si>
    <t>Grace Smith</t>
  </si>
  <si>
    <t>(310) 555-1761</t>
  </si>
  <si>
    <t>gsmith@guardiansurfacesso.com</t>
  </si>
  <si>
    <t>Lincoln Surfaces Contractors</t>
  </si>
  <si>
    <t>Elena Foster</t>
  </si>
  <si>
    <t>(310) 555-1272</t>
  </si>
  <si>
    <t>efoster@lincolnsurfacescon.com</t>
  </si>
  <si>
    <t>Union Flooring Solutions</t>
  </si>
  <si>
    <t>Trevor Adams</t>
  </si>
  <si>
    <t>(323) 555-1157</t>
  </si>
  <si>
    <t>tadams@unionflooringsolut.com</t>
  </si>
  <si>
    <t>Zenith Flooring Group</t>
  </si>
  <si>
    <t>Victor Brown</t>
  </si>
  <si>
    <t>(818) 555-1919</t>
  </si>
  <si>
    <t>vbrown@zenithflooringgrou.com</t>
  </si>
  <si>
    <t>Crown Custodial Group</t>
  </si>
  <si>
    <t>Gloria Kim</t>
  </si>
  <si>
    <t>(213) 555-1968</t>
  </si>
  <si>
    <t>gkim@crowncustodialgrou.com</t>
  </si>
  <si>
    <t>Monarch Janitorial Inc.</t>
  </si>
  <si>
    <t>Susan Vasquez</t>
  </si>
  <si>
    <t>svasquez@monarchjanitoriali.com</t>
  </si>
  <si>
    <t>Pacific Janitorial Solutions</t>
  </si>
  <si>
    <t>Carlos Hayes</t>
  </si>
  <si>
    <t>(310) 555-1024</t>
  </si>
  <si>
    <t>chayes@pacificjanitorials.com</t>
  </si>
  <si>
    <t>Crown Landscape LLC</t>
  </si>
  <si>
    <t>Sandra Bryant</t>
  </si>
  <si>
    <t>sbryant@crownlandscapellc.com</t>
  </si>
  <si>
    <t>Vertex Landscaping Enterprises</t>
  </si>
  <si>
    <t>Andrew Jordan</t>
  </si>
  <si>
    <t>(323) 555-1128</t>
  </si>
  <si>
    <t>ajordan@vertexlandscapinge.com</t>
  </si>
  <si>
    <t>Coastal Locksmith Inc.</t>
  </si>
  <si>
    <t>Elena Hayes</t>
  </si>
  <si>
    <t>(424) 555-1065</t>
  </si>
  <si>
    <t>ehayes@coastallocksmithin.com</t>
  </si>
  <si>
    <t>Sierra Lock &amp; Key Solutions</t>
  </si>
  <si>
    <t>Kevin Wong</t>
  </si>
  <si>
    <t>(310) 555-1400</t>
  </si>
  <si>
    <t>kwong@sierralockkeysolut.com</t>
  </si>
  <si>
    <t>Angel City Facility Services Systems</t>
  </si>
  <si>
    <t>James Rodriguez</t>
  </si>
  <si>
    <t>(818) 555-1650</t>
  </si>
  <si>
    <t>jrodriguez@angelcityfacilitys.com</t>
  </si>
  <si>
    <t>Beacon Maintenance Systems</t>
  </si>
  <si>
    <t>Diana Foster</t>
  </si>
  <si>
    <t>(818) 555-1996</t>
  </si>
  <si>
    <t>dfoster@beaconmaintenances.com</t>
  </si>
  <si>
    <t>Sierra Building Care Partners</t>
  </si>
  <si>
    <t>Angela Wilson</t>
  </si>
  <si>
    <t>(424) 555-1085</t>
  </si>
  <si>
    <t>awilson@sierrabuildingcare.com</t>
  </si>
  <si>
    <t>Sierra Paint Works Corp.</t>
  </si>
  <si>
    <t>Omar Chen</t>
  </si>
  <si>
    <t>(562) 555-1181</t>
  </si>
  <si>
    <t>ochen@sierrapaintworksco.com</t>
  </si>
  <si>
    <t>Premier Mobility Group</t>
  </si>
  <si>
    <t>David Navarro</t>
  </si>
  <si>
    <t>(323) 555-1510</t>
  </si>
  <si>
    <t>dnavarro@premiermobilitygro.com</t>
  </si>
  <si>
    <t>Redline Mobility Associates</t>
  </si>
  <si>
    <t>Anthony Nakamura</t>
  </si>
  <si>
    <t>(323) 555-1181</t>
  </si>
  <si>
    <t>anakamura@redlinemobilityass.com</t>
  </si>
  <si>
    <t>Cardinal Exterminators Partners</t>
  </si>
  <si>
    <t>ljohnson@cardinalexterminat.com</t>
  </si>
  <si>
    <t>Harbor Pest Solutions Solutions</t>
  </si>
  <si>
    <t>(818) 555-1661</t>
  </si>
  <si>
    <t>jali@harborpestsolution.com</t>
  </si>
  <si>
    <t>Silverline Pest Solutions Co</t>
  </si>
  <si>
    <t>(213) 555-1593</t>
  </si>
  <si>
    <t>adelgado@silverlinepestsolu.com</t>
  </si>
  <si>
    <t>Union Roof Systems Associates</t>
  </si>
  <si>
    <t>Susan Rodriguez</t>
  </si>
  <si>
    <t>(323) 555-1871</t>
  </si>
  <si>
    <t>srodriguez@unionroofsystemsas.com</t>
  </si>
  <si>
    <t>Vertex Roofing Contractors</t>
  </si>
  <si>
    <t>adelgado@vertexroofingcontr.com</t>
  </si>
  <si>
    <t>Allied Graphics Contractors</t>
  </si>
  <si>
    <t>Nancy Rivera</t>
  </si>
  <si>
    <t>(818) 555-1882</t>
  </si>
  <si>
    <t>nrivera@alliedgraphicscont.com</t>
  </si>
  <si>
    <t>Cardinal Graphics Systems</t>
  </si>
  <si>
    <t>Mark Wong</t>
  </si>
  <si>
    <t>(424) 555-1699</t>
  </si>
  <si>
    <t>mwong@cardinalgraphicssy.com</t>
  </si>
  <si>
    <t>First Class Signs Inc.</t>
  </si>
  <si>
    <t>Sandra Mehta</t>
  </si>
  <si>
    <t>(424) 555-1159</t>
  </si>
  <si>
    <t>smehta@firstclasssignsinc.com</t>
  </si>
  <si>
    <t>Union Signage Corp.</t>
  </si>
  <si>
    <t>James Chen</t>
  </si>
  <si>
    <t>(562) 555-1051</t>
  </si>
  <si>
    <t>jchen@unionsignagecorp.com</t>
  </si>
  <si>
    <t>Lincoln Linen Services Enterprises</t>
  </si>
  <si>
    <t>Kevin Bryant</t>
  </si>
  <si>
    <t>(562) 555-1578</t>
  </si>
  <si>
    <t>kbryant@lincolnlinenservic.com</t>
  </si>
  <si>
    <t>Nova Uniform Group</t>
  </si>
  <si>
    <t>(424) 555-1956</t>
  </si>
  <si>
    <t>nrivera@novauniformgroup.com</t>
  </si>
  <si>
    <t>Vertex Uniform LLC</t>
  </si>
  <si>
    <t>Trevor Castillo</t>
  </si>
  <si>
    <t>(310) 555-1257</t>
  </si>
  <si>
    <t>tcastillo@vertexuniformllc.com</t>
  </si>
  <si>
    <t>Sterling Recycling</t>
  </si>
  <si>
    <t>Frank Hughes</t>
  </si>
  <si>
    <t>(323) 555-1571</t>
  </si>
  <si>
    <t>fhughes@sterlingrecycling.com</t>
  </si>
  <si>
    <t>All-Star Aqua Services Corp.</t>
  </si>
  <si>
    <t>James Rivera</t>
  </si>
  <si>
    <t>jrivera@allstaraquaservice.com</t>
  </si>
  <si>
    <t>Coastal Water Systems Inc.</t>
  </si>
  <si>
    <t>Brian Torres</t>
  </si>
  <si>
    <t>(323) 555-1381</t>
  </si>
  <si>
    <t>btorres@coastalwatersystem.com</t>
  </si>
  <si>
    <t>Frontier Aqua Services Group</t>
  </si>
  <si>
    <t>Carlos Rivera</t>
  </si>
  <si>
    <t>(213) 555-1095</t>
  </si>
  <si>
    <t>crivera@frontieraquaservic.com</t>
  </si>
  <si>
    <t>Ironclad Aqua Services Solutions</t>
  </si>
  <si>
    <t>(562) 555-1242</t>
  </si>
  <si>
    <t>ohughes@ironcladaquaservic.com</t>
  </si>
  <si>
    <t>Premier Water Systems Company</t>
  </si>
  <si>
    <t>Kevin Ford</t>
  </si>
  <si>
    <t>(310) 555-1260</t>
  </si>
  <si>
    <t>kford@premierwatersystem.com</t>
  </si>
  <si>
    <t>Angel City Window Cleaning Services</t>
  </si>
  <si>
    <t>(424) 555-1005</t>
  </si>
  <si>
    <t>dsmith@angelcitywindowcle.com</t>
  </si>
  <si>
    <t>Downtown LA Clear View Associates</t>
  </si>
  <si>
    <t>Maria Ford</t>
  </si>
  <si>
    <t>(818) 555-1335</t>
  </si>
  <si>
    <t>mford@downtownlaclearvie.com</t>
  </si>
  <si>
    <t>Downtown LA Glass Care Inc.</t>
  </si>
  <si>
    <t>Jose Navarro</t>
  </si>
  <si>
    <t>(310) 555-1996</t>
  </si>
  <si>
    <t>jnavarro@downtownlaglasscar.com</t>
  </si>
  <si>
    <t>Premier Clear View Services</t>
  </si>
  <si>
    <t>Lisa Rivera</t>
  </si>
  <si>
    <t>(323) 555-1853</t>
  </si>
  <si>
    <t>lrivera@premierclearviewse.com</t>
  </si>
  <si>
    <t>Sterling Glass Care Associates</t>
  </si>
  <si>
    <t>Michael Hughes</t>
  </si>
  <si>
    <t>(213) 555-1001</t>
  </si>
  <si>
    <t>mhughes@sterlingglasscarea.com</t>
  </si>
  <si>
    <t>Comm Notes</t>
  </si>
  <si>
    <t>Satus</t>
  </si>
  <si>
    <t>Onboard Success</t>
  </si>
  <si>
    <t>COI</t>
  </si>
  <si>
    <t>W9</t>
  </si>
  <si>
    <t>Spend</t>
  </si>
  <si>
    <t xml:space="preserve">Total </t>
  </si>
  <si>
    <t>Critical Supplier</t>
  </si>
  <si>
    <t>Non-Critical Supplier</t>
  </si>
  <si>
    <t>%</t>
  </si>
  <si>
    <r>
      <rPr>
        <b/>
        <sz val="12"/>
        <color rgb="FF3F0065"/>
        <rFont val="Calibri"/>
        <family val="2"/>
        <scheme val="minor"/>
      </rPr>
      <t>Coordinator</t>
    </r>
    <r>
      <rPr>
        <b/>
        <sz val="12"/>
        <color theme="1"/>
        <rFont val="Calibri"/>
        <family val="2"/>
        <scheme val="minor"/>
      </rPr>
      <t>: Marisol Reyes</t>
    </r>
  </si>
  <si>
    <r>
      <rPr>
        <b/>
        <sz val="12"/>
        <color rgb="FF004E9A"/>
        <rFont val="Calibri"/>
        <family val="2"/>
        <scheme val="minor"/>
      </rPr>
      <t>Coordinator</t>
    </r>
    <r>
      <rPr>
        <b/>
        <sz val="12"/>
        <color theme="1"/>
        <rFont val="Calibri"/>
        <family val="2"/>
        <scheme val="minor"/>
      </rPr>
      <t>: Trevor Nguyen</t>
    </r>
  </si>
  <si>
    <r>
      <rPr>
        <b/>
        <sz val="12"/>
        <color theme="5" tint="-0.249977111117893"/>
        <rFont val="Calibri"/>
        <family val="2"/>
        <scheme val="minor"/>
      </rPr>
      <t>Coordinator</t>
    </r>
    <r>
      <rPr>
        <b/>
        <sz val="12"/>
        <color theme="1"/>
        <rFont val="Calibri"/>
        <family val="2"/>
        <scheme val="minor"/>
      </rPr>
      <t>: Priya Kapoor</t>
    </r>
  </si>
  <si>
    <r>
      <rPr>
        <b/>
        <sz val="12"/>
        <color rgb="FFC00000"/>
        <rFont val="Calibri"/>
        <family val="2"/>
        <scheme val="minor"/>
      </rPr>
      <t>Coordinator</t>
    </r>
    <r>
      <rPr>
        <b/>
        <sz val="12"/>
        <color theme="1"/>
        <rFont val="Calibri"/>
        <family val="2"/>
        <scheme val="minor"/>
      </rPr>
      <t>: Damon Fields</t>
    </r>
  </si>
  <si>
    <r>
      <rPr>
        <b/>
        <sz val="12"/>
        <color theme="7" tint="-0.499984740745262"/>
        <rFont val="Calibri"/>
        <family val="2"/>
        <scheme val="minor"/>
      </rPr>
      <t>Coordiniator</t>
    </r>
    <r>
      <rPr>
        <b/>
        <sz val="12"/>
        <color theme="1"/>
        <rFont val="Calibri"/>
        <family val="2"/>
        <scheme val="minor"/>
      </rPr>
      <t>: Yuki Tanaka</t>
    </r>
  </si>
  <si>
    <r>
      <rPr>
        <b/>
        <sz val="12"/>
        <color rgb="FF0070C0"/>
        <rFont val="Calibri"/>
        <family val="2"/>
        <scheme val="minor"/>
      </rPr>
      <t>Coordinator</t>
    </r>
    <r>
      <rPr>
        <b/>
        <sz val="12"/>
        <color theme="1"/>
        <rFont val="Calibri"/>
        <family val="2"/>
        <scheme val="minor"/>
      </rPr>
      <t>: Andre Boseman</t>
    </r>
  </si>
  <si>
    <r>
      <rPr>
        <b/>
        <sz val="12"/>
        <color rgb="FFC00000"/>
        <rFont val="Calibri"/>
        <family val="2"/>
        <scheme val="minor"/>
      </rPr>
      <t>Coordiniator</t>
    </r>
    <r>
      <rPr>
        <b/>
        <sz val="12"/>
        <color theme="1"/>
        <rFont val="Calibri"/>
        <family val="2"/>
        <scheme val="minor"/>
      </rPr>
      <t>: Hannah Whitlock</t>
    </r>
  </si>
  <si>
    <t>Count</t>
  </si>
  <si>
    <t>Critical (YES)</t>
  </si>
  <si>
    <t>Non-Critical (NO)</t>
  </si>
  <si>
    <t>Received</t>
  </si>
  <si>
    <t>The coi and the spend authorization cleared compliance review. The w-9 was flagged as still needed and re-requested. Contact responsive and engaged.</t>
  </si>
  <si>
    <t>Received and accepted the COI, closing out the packet. No exceptions in compliance review. Vendor status set to active.</t>
  </si>
  <si>
    <t>Communication has stalled — two follow-ups sent with no reply. Nothing submitted to date. Flagging this vendor as at-risk for onboarding.</t>
  </si>
  <si>
    <t>Progressing well: the COI accepted and logged. Outstanding item is the Spend authorization and the W-9, which the contact expects by next week. Steady communication.</t>
  </si>
  <si>
    <t>The spend authorization cleared compliance review. The w-9 and the coi was flagged as still needed and re-requested. Contact responsive and engaged.</t>
  </si>
  <si>
    <t>The coi and the w-9 received and verified; the Spend authorization still outstanding. Contact confirmed the remainder will be submitted by Wednesday. Following up then.</t>
  </si>
  <si>
    <t>Confirmed all required paperwork on file once the W-9 came through the portal. Insurance limits and tax details verified. Onboarding closed out.</t>
  </si>
  <si>
    <t>Good progress — the COI confirmed and filed. The spend authorization and the w-9 sits in the vendor's internal approval queue, expected by Wednesday. No concerns yet.</t>
  </si>
  <si>
    <t>Received the COI and the W-9 through the portal today; the Spend authorization still pending. Contact acknowledged the request and is gathering the paperwork. Checking back Thursday.</t>
  </si>
  <si>
    <t>Contact unresponsive to the last several messages, and the voicemail box is full. Requesting an alternate point of contact from the vendor. Noted for escalation.</t>
  </si>
  <si>
    <t>Submission of the Spend authorization stalled because of a pending budget approval on the vendor's end. Contact remains responsive despite the holdup. Re-checking Friday.</t>
  </si>
  <si>
    <t>Communication has stalled — three follow-ups sent with no reply. Nothing submitted to date. Flagging this vendor as at-risk for onboarding.</t>
  </si>
  <si>
    <t>Documents delayed — a processing backlog cited by their broker. Contact confirmed the item is in progress. Monitoring and following up Friday.</t>
  </si>
  <si>
    <t>Packet complete after the COI was uploaded, closing the final open item. Documents were cross-checked against contract requirements and approved. Vendor moved to active status.</t>
  </si>
  <si>
    <t>Partial packet in — the W-9 on file and within requirements. Awaiting the COI and the Spend authorization from the vendor's team. Reminder set for Wednesday.</t>
  </si>
  <si>
    <t>The spend authorization was the last piece and it cleared review this Tuesday. COI, W-9, and Spend authorization are all validated. Vendor activated and notified.</t>
  </si>
  <si>
    <t>Received the COI and the Spend authorization through the portal today; the W-9 still pending. Contact acknowledged the request and is gathering the paperwork. Checking back Friday.</t>
  </si>
  <si>
    <t>Submission of the Spend authorization stalled because of an internal signature backlog on the vendor's side. Contact remains responsive despite the holdup. Re-checking Tuesday.</t>
  </si>
  <si>
    <t>Everything is in — the W-9 arrived this Monday and matched our records. Contact was proactive throughout. Onboarding complete.</t>
  </si>
  <si>
    <t>Onboarding finalized after a short verification call this Tuesday. Every document is signed, dated, and on file. Ready for service assignment.</t>
  </si>
  <si>
    <t>The coi received and verified; the W-9 and the Spend authorization still outstanding. Contact confirmed the remainder will be submitted by Friday. Following up then.</t>
  </si>
  <si>
    <t>Onboarding finalized after a short verification call this Friday. Every document is signed, dated, and on file. Ready for service assignment.</t>
  </si>
  <si>
    <t>All onboarding documents — COI, W-9, and Spend authorization — are received and verified, with the W-9 arriving last. Compliance review passed with no exceptions. Vendor is fully onboarded and cleared for service.</t>
  </si>
  <si>
    <t>All onboarding documents — COI, W-9, and Spend authorization — are received and verified, with the COI arriving last. Compliance review passed with no exceptions. Vendor is fully onboarded and cleared for service.</t>
  </si>
  <si>
    <t>The coi is delayed due to a legal entity name change working through their system. A short extension was granted and acknowledged. Will re-check status by Monday.</t>
  </si>
  <si>
    <t>The coi received and verified; the W-9 and the Spend authorization still outstanding. Contact confirmed the remainder will be submitted by next week. Following up then.</t>
  </si>
  <si>
    <t>Contact has gone quiet after an initial acknowledgment; recent emails are unanswered. No documents received yet. Attempting a call and considering escalation.</t>
  </si>
  <si>
    <t>Documents delayed — an internal signature backlog on the vendor's side. Contact confirmed the item is in progress. Monitoring and following up Thursday.</t>
  </si>
  <si>
    <t>The coi held up because of a legal entity name change working through their system. Contact is actively working it and apologized for the lag. New target is next week.</t>
  </si>
  <si>
    <t>Replies are sporadic and often incomplete, slowing everything down. Still awaiting all required documents. Setting a firm deadline in the next message.</t>
  </si>
  <si>
    <t>The spend authorization held up because of a pending budget approval on the vendor's end. Contact is actively working it and apologized for the lag. New target is next week.</t>
  </si>
  <si>
    <t>Everything is in — the Spend authorization arrived this Thursday and matched our records. Contact was proactive throughout. Onboarding complete.</t>
  </si>
  <si>
    <t>First batch received: the Spend authorization logged and approved. Still awaiting the COI and the W-9. Contact committed to finishing by Wednesday.</t>
  </si>
  <si>
    <t>Good progress — the W-9 and the Spend authorization confirmed and filed. The coi sits in the vendor's internal approval queue, expected by Monday. No concerns yet.</t>
  </si>
  <si>
    <t>Submission of the Spend authorization stalled because of an unexpected staffing gap after the contact went on leave. Contact remains responsive despite the holdup. Re-checking Thursday.</t>
  </si>
  <si>
    <t>Contact delivered the Spend authorization ahead of the deadline, completing the packet. Coverage and W-9 details confirmed current. Cleared for daily operations support.</t>
  </si>
  <si>
    <t>Submission of the Spend authorization stalled because of their broker is reissuing the certificate with corrected coverage limits. Contact remains responsive despite the holdup. Re-checking Wednesday.</t>
  </si>
  <si>
    <t>Partial packet in — the W-9 on file and within requirements. Awaiting the Spend authorization and the COI from the vendor's team. Reminder set for Wednesday.</t>
  </si>
  <si>
    <t>Good progress — the COI confirmed and filed. The w-9 and the spend authorization sits in the vendor's internal approval queue, expected by Friday. No concerns yet.</t>
  </si>
  <si>
    <t>First batch received: the COI logged and approved. Still awaiting the Spend authorization and the W-9. Contact committed to finishing by Thursday.</t>
  </si>
  <si>
    <t>Third outreach attempt with no response from the contact. Voicemail left and a follow-up email sent requesting the outstanding documents. Escalating to a backup contact if no reply by Friday.</t>
  </si>
  <si>
    <t>Confirmed all required paperwork on file once the COI came through the portal. Insurance limits and tax details verified. Onboarding closed out.</t>
  </si>
  <si>
    <t>Full document set received and reconciled against the master vendor record; the Spend authorization needed a quick correction, now resolved. No further discrepancies found. Onboarding officially complete.</t>
  </si>
  <si>
    <t>Contact acknowledged the request but has since stopped responding. No documents in. Trying a different channel and noting for supervisor follow-up.</t>
  </si>
  <si>
    <t>Contact uploaded the COI; the Spend authorization and the W-9 to follow once signed. Communication has been solid. Next check-in Friday.</t>
  </si>
  <si>
    <t>The coi pushed back owing to a corporate reorganization reassigning document ownership. The rest of the packet is fine. Expecting resolution by Friday.</t>
  </si>
  <si>
    <t>Repeated attempts to reach the contact have gone unanswered. No paperwork received so far. Escalating to their main office line.</t>
  </si>
  <si>
    <t>Contact uploaded the COI and the Spend authorization; the W-9 to follow once signed. Communication has been solid. Next check-in next week.</t>
  </si>
  <si>
    <t>Contact uploaded the Spend authorization; the W-9 and the COI to follow once signed. Communication has been solid. Next check-in Monday.</t>
  </si>
  <si>
    <t>Partial packet in — the W-9 and the Spend authorization on file and within requirements. Awaiting the COI from the vendor's team. Reminder set for Wednesday.</t>
  </si>
  <si>
    <t>Contact uploaded the COI and the Spend authorization; the W-9 to follow once signed. Communication has been solid. Next check-in Tuesday.</t>
  </si>
  <si>
    <t>Everything is in — the COI arrived this Monday and matched our records. Contact was proactive throughout. Onboarding complete.</t>
  </si>
  <si>
    <t>Received and accepted the Spend authorization, closing out the packet. No exceptions in compliance review. Vendor status set to active.</t>
  </si>
  <si>
    <t>The w-9 is delayed due to the contact's finance lead is out on PTO. A short extension was granted and acknowledged. Will re-check status by next week.</t>
  </si>
  <si>
    <t>The coi was the last piece and it cleared review this Friday. COI, W-9, and Spend authorization are all validated. Vendor activated and notified.</t>
  </si>
  <si>
    <t>Submission of the W-9 stalled because of a legal entity name change working through their system. Contact remains responsive despite the holdup. Re-checking Monday.</t>
  </si>
  <si>
    <t>All three required documents were approved on first pass, the Spend authorization included. The Certificate of Insurance names the arena as additional insured, as required. Vendor is good to go.</t>
  </si>
  <si>
    <t>Everything is in — the W-9 arrived this Tuesday and matched our records. Contact was proactive throughout. Onboarding complete.</t>
  </si>
  <si>
    <t>The coi was the last piece and it cleared review this Wednesday. COI, W-9, and Spend authorization are all validated. Vendor activated and notified.</t>
  </si>
  <si>
    <t>The spend authorization held up because of their broker is reissuing the certificate with corrected coverage limits. Contact is actively working it and apologized for the lag. New target is Tuesday.</t>
  </si>
  <si>
    <t>Everything is in — the COI arrived this Thursday and matched our records. Contact was proactive throughout. Onboarding complete.</t>
  </si>
  <si>
    <t>Submission of the W-9 stalled because of an internal signature backlog on the vendor's side. Contact remains responsive despite the holdup. Re-checking Monday.</t>
  </si>
  <si>
    <t>The coi and the w-9 received and verified; the Spend authorization still outstanding. Contact confirmed the remainder will be submitted by Friday. Following up then.</t>
  </si>
  <si>
    <t>Contact uploaded the W-9; the Spend authorization and the COI to follow once signed. Communication has been solid. Next check-in Wednesday.</t>
  </si>
  <si>
    <t>Contact delivered the W-9 ahead of the deadline, completing the packet. Coverage and W-9 details confirmed current. Cleared for daily operations support.</t>
  </si>
  <si>
    <t>Progressing well: the COI and the W-9 accepted and logged. Outstanding item is the Spend authorization, which the contact expects by Wednesday. Steady communication.</t>
  </si>
  <si>
    <t>The coi received and verified; the Spend authorization and the W-9 still outstanding. Contact confirmed the remainder will be submitted by Monday. Following up then.</t>
  </si>
  <si>
    <t>Documents delayed — the contact's finance lead is out on PTO. Contact confirmed the item is in progress. Monitoring and following up next week.</t>
  </si>
  <si>
    <t>Full document set received and reconciled against the master vendor record; the W-9 needed a quick correction, now resolved. No further discrepancies found. Onboarding officially complete.</t>
  </si>
  <si>
    <t>The coi and the spend authorization received and verified; the W-9 still outstanding. Contact confirmed the remainder will be submitted by Tuesday. Following up then.</t>
  </si>
  <si>
    <t>The w-9 and the spend authorization received and verified; the COI still outstanding. Contact confirmed the remainder will be submitted by Friday. Following up then.</t>
  </si>
  <si>
    <t>Partial packet in — the W-9 and the Spend authorization on file and within requirements. Awaiting the COI from the vendor's team. Reminder set for next week.</t>
  </si>
  <si>
    <t>Everything is in — the COI arrived this Wednesday and matched our records. Contact was proactive throughout. Onboarding complete.</t>
  </si>
  <si>
    <t>Onboarding finalized after a short verification call this Thursday. Every document is signed, dated, and on file. Ready for service assignment.</t>
  </si>
  <si>
    <t>The w-9 is delayed due to an unexpected staffing gap after the contact went on leave. A short extension was granted and acknowledged. Will re-check status by Tuesday.</t>
  </si>
  <si>
    <t>All three required documents were approved on first pass, the COI included. The Certificate of Insurance names the arena as additional insured, as required. Vendor is good to go.</t>
  </si>
  <si>
    <t>Packet complete after the Spend authorization was uploaded, closing the final open item. Documents were cross-checked against contract requirements and approved. Vendor moved to active status.</t>
  </si>
  <si>
    <t>The spend authorization pushed back owing to a vendor-side system migration that temporarily locked their files. The rest of the packet is fine. Expecting resolution by Wednesday.</t>
  </si>
  <si>
    <t>Everything is in — the Spend authorization arrived this Monday and matched our records. Contact was proactive throughout. Onboarding complete.</t>
  </si>
  <si>
    <t>The spend authorization pushed back owing to a processing backlog cited by their broker. The rest of the packet is fine. Expecting resolution by Wednesday.</t>
  </si>
  <si>
    <t>Received the W-9 through the portal today; the COI and the Spend authorization still pending. Contact acknowledged the request and is gathering the paperwork. Checking back next week.</t>
  </si>
  <si>
    <t>The spend authorization pushed back owing to an internal signature backlog on the vendor's side. The rest of the packet is fine. Expecting resolution by Friday.</t>
  </si>
  <si>
    <t>Everything is in — the W-9 arrived this Thursday and matched our records. Contact was proactive throughout. Onboarding complete.</t>
  </si>
  <si>
    <t>First batch received: the COI logged and approved. Still awaiting the Spend authorization and the W-9. Contact committed to finishing by Tuesday.</t>
  </si>
  <si>
    <t>All onboarding documents — COI, W-9, and Spend authorization — are received and verified, with the Spend authorization arriving last. Compliance review passed with no exceptions. Vendor is fully onboarded and cleared for service.</t>
  </si>
  <si>
    <t>The coi is delayed due to a vendor-side system migration that temporarily locked their files. A short extension was granted and acknowledged. Will re-check status by Friday.</t>
  </si>
  <si>
    <t>The spend authorization received and verified; the W-9 and the COI still outstanding. Contact confirmed the remainder will be submitted by Wednesday. Following up then.</t>
  </si>
  <si>
    <t>Completion</t>
  </si>
  <si>
    <t>Delayed</t>
  </si>
  <si>
    <t>The coi held up because of a legal entity name change working through their system. Contact is actively working it and apologized for the lag. New target is Tuesday.</t>
  </si>
  <si>
    <t>Good progress — the W-9 and the Spend authorization confirmed and filed. The coi sits in the vendor's internal approval queue, expected by Friday. No concerns yet.</t>
  </si>
  <si>
    <t>The spend authorization is delayed due to a corporate reorganization reassigning document ownership. A short extension was granted and acknowledged. Will re-check status by Thursday.</t>
  </si>
  <si>
    <t>Documents delayed — an unexpected staffing gap after the contact went on leave. Contact confirmed the item is in progress. Monitoring and following up Wednesday.</t>
  </si>
  <si>
    <t>Documents delayed — an insurance renewal still in process. Contact confirmed the item is in progress. Monitoring and following up Wednesday.</t>
  </si>
  <si>
    <t>Good progress — the COI and the Spend authorization confirmed and filed. The w-9 sits in the vendor's internal approval queue, expected by Monday. No concerns yet.</t>
  </si>
  <si>
    <t>First batch received: the COI and the Spend authorization logged and approved. Still awaiting the W-9. Contact committed to finishing by next week.</t>
  </si>
  <si>
    <t>The coi pushed back owing to a pending budget approval on the vendor's end. The rest of the packet is fine. Expecting resolution by Thursday.</t>
  </si>
  <si>
    <t>The spend authorization received and verified; the W-9 and the COI still outstanding. Contact confirmed the remainder will be submitted by Tuesday. Following up then.</t>
  </si>
  <si>
    <t>The spend authorization is delayed due to an internal signature backlog on the vendor's side. A short extension was granted and acknowledged. Will re-check status by Wednesday.</t>
  </si>
  <si>
    <t>First batch received: the W-9 and the Spend authorization logged and approved. Still awaiting the COI. Contact committed to finishing by Monday.</t>
  </si>
  <si>
    <t>Good progress — the COI and the W-9 confirmed and filed. The spend authorization sits in the vendor's internal approval queue, expected by Monday. No concerns yet.</t>
  </si>
  <si>
    <t>Received and accepted the W-9, closing out the packet. No exceptions in compliance review. Vendor status set to active.</t>
  </si>
  <si>
    <t>The spend authorization held up because of a vendor-side system migration that temporarily locked their files. Contact is actively working it and apologized for the lag. New target is Friday.</t>
  </si>
  <si>
    <t>Packet complete after the W-9 was uploaded, closing the final open item. Documents were cross-checked against contract requirements and approved. Vendor moved to active status.</t>
  </si>
  <si>
    <t>The coi is delayed due to a pending budget approval on the vendor's end. A short extension was granted and acknowledged. Will re-check status by Monday.</t>
  </si>
  <si>
    <t>The spend authorization was the last piece and it cleared review this Thursday. COI, W-9, and Spend authorization are all validated. Vendor activated and notified.</t>
  </si>
  <si>
    <t>The w-9 held up because of a pending budget approval on the vendor's end. Contact is actively working it and apologized for the lag. New target is Thursday.</t>
  </si>
  <si>
    <t>Documents delayed — a processing backlog cited by their broker. Contact confirmed the item is in progress. Monitoring and following up Tuesday.</t>
  </si>
  <si>
    <t>Progressing well: the W-9 and the Spend authorization accepted and logged. Outstanding item is the COI, which the contact expects by Thursday. Steady communication.</t>
  </si>
  <si>
    <t>All three required documents were approved on first pass, the W-9 included. The Certificate of Insurance names the arena as additional insured, as required. Vendor is good to go.</t>
  </si>
  <si>
    <t>The spend authorization is running late; contact promised delivery by close of business. Everything else has cleared review. Following up this afternoon.</t>
  </si>
  <si>
    <t>The w-9 is running late; contact promised delivery by close of business. Everything else has cleared review. Following up this afternoon.</t>
  </si>
  <si>
    <t>The coi held up because of a holiday closure at the vendor's corporate office. Contact is actively working it and apologized for the lag. New target is Thursday.</t>
  </si>
  <si>
    <t>The spend authorization held up because of an unexpected staffing gap after the contact went on leave. Contact is actively working it and apologized for the lag. New target is next week.</t>
  </si>
  <si>
    <t>Awaiting the COI, which the contact committed to sending by end of day. The rest of the packet is complete. EOD verification scheduled.</t>
  </si>
  <si>
    <t>Awaiting the W-9, which the contact committed to sending by end of day. The rest of the packet is complete. EOD verification scheduled.</t>
  </si>
  <si>
    <t>Submission of the W-9 stalled because of a legal entity name change working through their system. Contact remains responsive despite the holdup. Re-checking Tuesday.</t>
  </si>
  <si>
    <t>Partial packet in — the Spend authorization on file and within requirements. Awaiting the COI and the W-9 from the vendor's team. Reminder set for Tuesday.</t>
  </si>
  <si>
    <t>Awaiting the Spend authorization, which the contact committed to sending by end of day. The rest of the packet is complete. EOD verification scheduled.</t>
  </si>
  <si>
    <t>Contact guaranteed the outstanding Spend authorization by close of business. Other documents are accepted and validated. Will confirm and complete EOD.</t>
  </si>
  <si>
    <t>Everything is in — the W-9 arrived this Wednesday and matched our records. Contact was proactive throughout. Onboarding complete.</t>
  </si>
  <si>
    <t>Onboarding finalized after a short verification call this Wednesday. Every document is signed, dated, and on file. Ready for service assignment.</t>
  </si>
  <si>
    <t>Full document set received and reconciled against the master vendor record; the COI needed a quick correction, now resolved. No further discrepancies found. Onboarding officially complete.</t>
  </si>
  <si>
    <t>The coi and the w-9 cleared compliance review. The spend authorization was flagged as still needed and re-requested. Contact responsive and engaged.</t>
  </si>
  <si>
    <t>Received the Spend authorization through the portal today; the W-9 and the COI still pending. Contact acknowledged the request and is gathering the paperwork. Checking back Tuesday.</t>
  </si>
  <si>
    <t>Documents delayed — their broker is reissuing the certificate with corrected coverage limits. Contact confirmed the item is in progress. Monitoring and following up Monday.</t>
  </si>
  <si>
    <t>The spend authorization is delayed due to a vendor-side system migration that temporarily locked their files. A short extension was granted and acknowledged. Will re-check status by Monday.</t>
  </si>
  <si>
    <t>The w-9 received and verified; the Spend authorization and the COI still outstanding. Contact confirmed the remainder will be submitted by Thursday. Following up then.</t>
  </si>
  <si>
    <t>The coi pushed back owing to an internal signature backlog on the vendor's side. The rest of the packet is fine. Expecting resolution by Monday.</t>
  </si>
  <si>
    <t>The w-9 is delayed due to a pending budget approval on the vendor's end. A short extension was granted and acknowledged. Will re-check status by Thursday.</t>
  </si>
  <si>
    <t>Everything is in — the COI arrived this Friday and matched our records. Contact was proactive throughout. Onboarding complete.</t>
  </si>
  <si>
    <t>The w-9 is held for a same-day signature; contact expects it uploaded by EOD. The other forms are approved. Standing by to finalize today.</t>
  </si>
  <si>
    <t>Contact delivered the COI ahead of the deadline, completing the packet. Coverage and W-9 details confirmed current. Cleared for daily operations support.</t>
  </si>
  <si>
    <t>Submission of the W-9 stalled because of an internal signature backlog on the vendor's side. Contact remains responsive despite the holdup. Re-checking Wednesday.</t>
  </si>
  <si>
    <t>The w-9 is delayed, but the contact confirmed upload by end of day today. Remaining documents are on file and verified. Will check and close EOD.</t>
  </si>
  <si>
    <t>Contact guaranteed the outstanding W-9 by close of business. Other documents are accepted and validated. Will confirm and complete EOD.</t>
  </si>
  <si>
    <t>The spend authorization held up because of a vendor-side system migration that temporarily locked their files. Contact is actively working it and apologized for the lag. New target is Monday.</t>
  </si>
  <si>
    <t>The coi is delayed due to a vendor-side system migration that temporarily locked their files. A short extension was granted and acknowledged. Will re-check status by Monday.</t>
  </si>
  <si>
    <t>Submission of the W-9 stalled because of a holiday closure at the vendor's corporate office. Contact remains responsive despite the holdup. Re-checking next week.</t>
  </si>
  <si>
    <t>Everything is in — the Spend authorization arrived this Tuesday and matched our records. Contact was proactive throughout. Onboarding complete.</t>
  </si>
  <si>
    <t>The coi received and verified; the Spend authorization and the W-9 still outstanding. Contact confirmed the remainder will be submitted by next week. Following up then.</t>
  </si>
  <si>
    <t>Total</t>
  </si>
  <si>
    <t>EOD</t>
  </si>
  <si>
    <t>Poor Comm</t>
  </si>
  <si>
    <t>Comp%</t>
  </si>
  <si>
    <t>Critical At -Risk</t>
  </si>
  <si>
    <t>Spend At-Risk</t>
  </si>
  <si>
    <t>Engine: live counts per coordinator (drives KPI's &amp; charts)</t>
  </si>
  <si>
    <t>% Fully Onboarded</t>
  </si>
  <si>
    <t>% On Track (complete + in progress)</t>
  </si>
  <si>
    <t>Critical At_Risk</t>
  </si>
  <si>
    <t>Sum of Spend At-Risk</t>
  </si>
  <si>
    <t>Row Labels</t>
  </si>
  <si>
    <t>Grand Total</t>
  </si>
  <si>
    <t>Sum of Total</t>
  </si>
  <si>
    <t>Sum of Completion</t>
  </si>
  <si>
    <t>Sum of Received</t>
  </si>
  <si>
    <t>Sum of Delayed</t>
  </si>
  <si>
    <t>Sum of Poor Comm</t>
  </si>
  <si>
    <t>Sum of Critical At -Risk</t>
  </si>
  <si>
    <t>Sum of EOD</t>
  </si>
  <si>
    <t>Sum of Comp%</t>
  </si>
  <si>
    <t>Pivot Tables</t>
  </si>
  <si>
    <t>Status</t>
  </si>
  <si>
    <t>Delayed  - EOD</t>
  </si>
  <si>
    <t>Poor Commuication</t>
  </si>
  <si>
    <t>Supplier</t>
  </si>
  <si>
    <t>Annual $</t>
  </si>
  <si>
    <t xml:space="preserve">AI assited formual: </t>
  </si>
  <si>
    <t>Vendor Note</t>
  </si>
  <si>
    <t>Progress Overview</t>
  </si>
  <si>
    <r>
      <rPr>
        <b/>
        <sz val="14"/>
        <color rgb="FF9E0000"/>
        <rFont val="Calibri"/>
        <family val="2"/>
        <scheme val="minor"/>
      </rPr>
      <t>🚩</t>
    </r>
    <r>
      <rPr>
        <b/>
        <sz val="14"/>
        <color theme="1"/>
        <rFont val="Calibri"/>
        <family val="2"/>
        <scheme val="minor"/>
      </rPr>
      <t xml:space="preserve"> Red Flags</t>
    </r>
  </si>
  <si>
    <t>Complete</t>
  </si>
  <si>
    <t>Poor Comms</t>
  </si>
  <si>
    <t>Critical Supplier Focus - the services the arena can't open without</t>
  </si>
  <si>
    <t>cells AA2, AB2, AC2 (AI formulas)</t>
  </si>
  <si>
    <r>
      <rPr>
        <b/>
        <sz val="14"/>
        <color rgb="FFA20000"/>
        <rFont val="Calibri"/>
        <family val="2"/>
        <scheme val="minor"/>
      </rPr>
      <t>Critical</t>
    </r>
    <r>
      <rPr>
        <b/>
        <sz val="14"/>
        <rFont val="Calibri"/>
        <family val="2"/>
        <scheme val="minor"/>
      </rPr>
      <t xml:space="preserve"> Supplier Focus — the services the arena can't open without</t>
    </r>
  </si>
  <si>
    <t>Recommended Actions</t>
  </si>
  <si>
    <t>Data Validation in NOT used on dashboard</t>
  </si>
  <si>
    <r>
      <rPr>
        <b/>
        <sz val="12"/>
        <color rgb="FF590000"/>
        <rFont val="Calibri"/>
        <family val="2"/>
        <scheme val="minor"/>
      </rPr>
      <t>Avg. Tenure Completion Rate</t>
    </r>
    <r>
      <rPr>
        <b/>
        <sz val="12"/>
        <color theme="1"/>
        <rFont val="Calibri"/>
        <family val="2"/>
        <scheme val="minor"/>
      </rPr>
      <t>: 96.8%</t>
    </r>
  </si>
  <si>
    <r>
      <rPr>
        <b/>
        <sz val="12"/>
        <color rgb="FF590000"/>
        <rFont val="Calibri"/>
        <family val="2"/>
        <scheme val="minor"/>
      </rPr>
      <t>Avg. Tenure Completion Rate</t>
    </r>
    <r>
      <rPr>
        <b/>
        <sz val="12"/>
        <color theme="1"/>
        <rFont val="Calibri"/>
        <family val="2"/>
        <scheme val="minor"/>
      </rPr>
      <t>: 97.6%</t>
    </r>
  </si>
  <si>
    <r>
      <rPr>
        <b/>
        <sz val="12"/>
        <color rgb="FFC00000"/>
        <rFont val="Calibri"/>
        <family val="2"/>
        <scheme val="minor"/>
      </rPr>
      <t>Avg. Tenure Completion Rate</t>
    </r>
    <r>
      <rPr>
        <b/>
        <sz val="12"/>
        <color theme="1"/>
        <rFont val="Calibri"/>
        <family val="2"/>
        <scheme val="minor"/>
      </rPr>
      <t>: 89.8%</t>
    </r>
  </si>
  <si>
    <r>
      <rPr>
        <b/>
        <sz val="12"/>
        <color rgb="FFC00000"/>
        <rFont val="Calibri"/>
        <family val="2"/>
        <scheme val="minor"/>
      </rPr>
      <t>Avg. Tenure Completion Rate</t>
    </r>
    <r>
      <rPr>
        <b/>
        <sz val="12"/>
        <color theme="1"/>
        <rFont val="Calibri"/>
        <family val="2"/>
        <scheme val="minor"/>
      </rPr>
      <t>: 88.7%</t>
    </r>
  </si>
  <si>
    <r>
      <rPr>
        <b/>
        <sz val="12"/>
        <color rgb="FFC00000"/>
        <rFont val="Calibri"/>
        <family val="2"/>
        <scheme val="minor"/>
      </rPr>
      <t>Avg. Tenure Completion Rate</t>
    </r>
    <r>
      <rPr>
        <b/>
        <sz val="12"/>
        <color theme="1"/>
        <rFont val="Calibri"/>
        <family val="2"/>
        <scheme val="minor"/>
      </rPr>
      <t>: 89.2%</t>
    </r>
  </si>
  <si>
    <r>
      <rPr>
        <b/>
        <sz val="12"/>
        <color rgb="FFC00000"/>
        <rFont val="Calibri"/>
        <family val="2"/>
        <scheme val="minor"/>
      </rPr>
      <t>Avg. Tenure Completion Rate</t>
    </r>
    <r>
      <rPr>
        <b/>
        <sz val="12"/>
        <color theme="1"/>
        <rFont val="Calibri"/>
        <family val="2"/>
        <scheme val="minor"/>
      </rPr>
      <t>: 87.7%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</si>
</sst>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5" formatCode="&quot;$&quot;#,##0.00;[Red]&quot;$&quot;#,##0.00"/>
  </numFmts>
  <fonts count="28" x14ac:knownFonts="1">
    <font>
      <sz val="11"/>
      <color theme="1"/>
      <name val="Calibri"/>
      <family val="2"/>
      <scheme val="minor"/>
    </font>
    <font>
      <sz val="11"/>
      <color theme="1"/>
      <name val="Calibri"/>
      <family val="2"/>
      <scheme val="minor"/>
    </font>
    <font>
      <b/>
      <sz val="11"/>
      <color rgb="FFC00000"/>
      <name val="Calibri"/>
      <family val="2"/>
      <scheme val="minor"/>
    </font>
    <font>
      <sz val="11"/>
      <color rgb="FFFFFF00"/>
      <name val="Calibri"/>
      <family val="2"/>
      <scheme val="minor"/>
    </font>
    <font>
      <b/>
      <sz val="11"/>
      <color rgb="FFA20000"/>
      <name val="Calibri"/>
      <family val="2"/>
      <scheme val="minor"/>
    </font>
    <font>
      <b/>
      <sz val="12"/>
      <color theme="1"/>
      <name val="Calibri"/>
      <family val="2"/>
      <scheme val="minor"/>
    </font>
    <font>
      <b/>
      <sz val="12"/>
      <color rgb="FF3F0065"/>
      <name val="Calibri"/>
      <family val="2"/>
      <scheme val="minor"/>
    </font>
    <font>
      <b/>
      <sz val="12"/>
      <color rgb="FF590000"/>
      <name val="Calibri"/>
      <family val="2"/>
      <scheme val="minor"/>
    </font>
    <font>
      <b/>
      <sz val="12"/>
      <color rgb="FF004E9A"/>
      <name val="Calibri"/>
      <family val="2"/>
      <scheme val="minor"/>
    </font>
    <font>
      <b/>
      <sz val="12"/>
      <color theme="5" tint="-0.249977111117893"/>
      <name val="Calibri"/>
      <family val="2"/>
      <scheme val="minor"/>
    </font>
    <font>
      <b/>
      <sz val="12"/>
      <color rgb="FFC00000"/>
      <name val="Calibri"/>
      <family val="2"/>
      <scheme val="minor"/>
    </font>
    <font>
      <b/>
      <sz val="12"/>
      <color theme="7" tint="-0.499984740745262"/>
      <name val="Calibri"/>
      <family val="2"/>
      <scheme val="minor"/>
    </font>
    <font>
      <b/>
      <sz val="12"/>
      <color rgb="FF0070C0"/>
      <name val="Calibri"/>
      <family val="2"/>
      <scheme val="minor"/>
    </font>
    <font>
      <b/>
      <sz val="12"/>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color theme="0" tint="-0.499984740745262"/>
      <name val="Calibri"/>
      <family val="2"/>
      <scheme val="minor"/>
    </font>
    <font>
      <b/>
      <i/>
      <sz val="11"/>
      <color rgb="FFC00000"/>
      <name val="Calibri"/>
      <family val="2"/>
      <scheme val="minor"/>
    </font>
    <font>
      <sz val="11"/>
      <color theme="1" tint="0.499984740745262"/>
      <name val="Calibri"/>
      <family val="2"/>
      <scheme val="minor"/>
    </font>
    <font>
      <b/>
      <sz val="14"/>
      <color rgb="FF002060"/>
      <name val="Calibri"/>
      <family val="2"/>
      <scheme val="minor"/>
    </font>
    <font>
      <sz val="8"/>
      <name val="Calibri"/>
      <family val="2"/>
      <scheme val="minor"/>
    </font>
    <font>
      <b/>
      <sz val="14"/>
      <color theme="1"/>
      <name val="Calibri"/>
      <family val="2"/>
      <scheme val="minor"/>
    </font>
    <font>
      <b/>
      <sz val="14"/>
      <color rgb="FF9E0000"/>
      <name val="Calibri"/>
      <family val="2"/>
      <scheme val="minor"/>
    </font>
    <font>
      <b/>
      <sz val="14"/>
      <name val="Calibri"/>
      <family val="2"/>
      <scheme val="minor"/>
    </font>
    <font>
      <b/>
      <sz val="14"/>
      <color rgb="FFA20000"/>
      <name val="Calibri"/>
      <family val="2"/>
      <scheme val="minor"/>
    </font>
    <font>
      <b/>
      <sz val="16"/>
      <color rgb="FF008000"/>
      <name val="Calibri"/>
      <family val="2"/>
      <scheme val="minor"/>
    </font>
  </fonts>
  <fills count="14">
    <fill>
      <patternFill patternType="none"/>
    </fill>
    <fill>
      <patternFill patternType="gray125"/>
    </fill>
    <fill>
      <patternFill patternType="solid">
        <fgColor rgb="FF005400"/>
        <bgColor indexed="64"/>
      </patternFill>
    </fill>
    <fill>
      <patternFill patternType="solid">
        <fgColor rgb="FF662395"/>
        <bgColor indexed="64"/>
      </patternFill>
    </fill>
    <fill>
      <patternFill patternType="solid">
        <fgColor rgb="FF4C0000"/>
        <bgColor indexed="64"/>
      </patternFill>
    </fill>
    <fill>
      <patternFill patternType="solid">
        <fgColor rgb="FF7030A0"/>
        <bgColor indexed="64"/>
      </patternFill>
    </fill>
    <fill>
      <patternFill patternType="solid">
        <fgColor theme="9" tint="-0.249977111117893"/>
        <bgColor indexed="64"/>
      </patternFill>
    </fill>
    <fill>
      <patternFill patternType="solid">
        <fgColor rgb="FF00B0F0"/>
        <bgColor indexed="64"/>
      </patternFill>
    </fill>
    <fill>
      <patternFill patternType="solid">
        <fgColor rgb="FF001845"/>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0" tint="-4.9989318521683403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rgb="FF66FF33"/>
      </left>
      <right/>
      <top style="medium">
        <color rgb="FF66FF33"/>
      </top>
      <bottom style="medium">
        <color rgb="FF66FF33"/>
      </bottom>
      <diagonal/>
    </border>
    <border>
      <left/>
      <right/>
      <top style="medium">
        <color rgb="FF66FF33"/>
      </top>
      <bottom style="medium">
        <color rgb="FF66FF33"/>
      </bottom>
      <diagonal/>
    </border>
    <border>
      <left/>
      <right style="medium">
        <color rgb="FF66FF33"/>
      </right>
      <top style="medium">
        <color rgb="FF66FF33"/>
      </top>
      <bottom style="medium">
        <color rgb="FF66FF33"/>
      </bottom>
      <diagonal/>
    </border>
    <border>
      <left style="thick">
        <color rgb="FF66FF33"/>
      </left>
      <right style="thick">
        <color rgb="FF66FF33"/>
      </right>
      <top style="thick">
        <color rgb="FF66FF33"/>
      </top>
      <bottom style="thick">
        <color rgb="FF66FF33"/>
      </bottom>
      <diagonal/>
    </border>
    <border>
      <left style="thick">
        <color rgb="FF66FF33"/>
      </left>
      <right/>
      <top style="thick">
        <color rgb="FF66FF33"/>
      </top>
      <bottom style="thick">
        <color rgb="FF66FF33"/>
      </bottom>
      <diagonal/>
    </border>
    <border>
      <left/>
      <right/>
      <top style="thick">
        <color rgb="FF66FF33"/>
      </top>
      <bottom style="thick">
        <color rgb="FF66FF33"/>
      </bottom>
      <diagonal/>
    </border>
    <border>
      <left/>
      <right style="thick">
        <color rgb="FF66FF33"/>
      </right>
      <top style="thick">
        <color rgb="FF66FF33"/>
      </top>
      <bottom style="thick">
        <color rgb="FF66FF33"/>
      </bottom>
      <diagonal/>
    </border>
    <border>
      <left style="thick">
        <color rgb="FF66FF33"/>
      </left>
      <right style="thick">
        <color rgb="FF66FF33"/>
      </right>
      <top style="thick">
        <color rgb="FF66FF33"/>
      </top>
      <bottom/>
      <diagonal/>
    </border>
    <border>
      <left style="thick">
        <color rgb="FF66FF33"/>
      </left>
      <right style="thick">
        <color rgb="FF66FF33"/>
      </right>
      <top/>
      <bottom style="thick">
        <color rgb="FF66FF33"/>
      </bottom>
      <diagonal/>
    </border>
    <border>
      <left/>
      <right style="thick">
        <color rgb="FF66FF33"/>
      </right>
      <top style="thick">
        <color rgb="FF66FF33"/>
      </top>
      <bottom/>
      <diagonal/>
    </border>
    <border>
      <left/>
      <right/>
      <top style="thin">
        <color indexed="64"/>
      </top>
      <bottom/>
      <diagonal/>
    </border>
    <border>
      <left/>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64">
    <xf numFmtId="0" fontId="0" fillId="0" borderId="0" xfId="0"/>
    <xf numFmtId="0" fontId="0" fillId="0" borderId="0" xfId="0" applyAlignment="1">
      <alignment horizontal="right"/>
    </xf>
    <xf numFmtId="0" fontId="0" fillId="0" borderId="0" xfId="0" applyAlignment="1">
      <alignment horizontal="center"/>
    </xf>
    <xf numFmtId="164" fontId="0" fillId="0" borderId="0" xfId="1" applyNumberFormat="1" applyFont="1" applyAlignment="1">
      <alignment horizontal="center"/>
    </xf>
    <xf numFmtId="164" fontId="0" fillId="0" borderId="0" xfId="0" applyNumberFormat="1"/>
    <xf numFmtId="164" fontId="0" fillId="0" borderId="0" xfId="0" applyNumberFormat="1" applyAlignment="1">
      <alignment horizontal="center"/>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vertical="center"/>
    </xf>
    <xf numFmtId="0" fontId="5" fillId="3" borderId="0" xfId="0" applyFont="1" applyFill="1" applyAlignment="1">
      <alignment horizontal="center" vertical="center"/>
    </xf>
    <xf numFmtId="0" fontId="0" fillId="0" borderId="0" xfId="0">
      <extLst>
        <ext xmlns:xfpb="http://schemas.microsoft.com/office/spreadsheetml/2022/featurepropertybag" uri="{C7286773-470A-42A8-94C5-96B5CB345126}">
          <xfpb:xfComplement i="0"/>
        </ext>
      </extLst>
    </xf>
    <xf numFmtId="0" fontId="0" fillId="4" borderId="0" xfId="0" applyFill="1"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2" borderId="0" xfId="0" applyFill="1" applyAlignment="1">
      <alignment horizontal="center" vertical="center"/>
    </xf>
    <xf numFmtId="0" fontId="0" fillId="8" borderId="0" xfId="0" applyFill="1" applyAlignment="1">
      <alignment horizontal="center" vertical="center"/>
    </xf>
    <xf numFmtId="0" fontId="4" fillId="0" borderId="0" xfId="0" applyFont="1"/>
    <xf numFmtId="0" fontId="4" fillId="0" borderId="0" xfId="0" applyFont="1" applyAlignment="1">
      <alignment horizontal="center"/>
    </xf>
    <xf numFmtId="0" fontId="0" fillId="0" borderId="0" xfId="0" applyAlignment="1">
      <alignment horizontal="left"/>
    </xf>
    <xf numFmtId="0" fontId="0" fillId="0" borderId="0" xfId="0" applyAlignment="1">
      <alignment wrapText="1"/>
    </xf>
    <xf numFmtId="0" fontId="0" fillId="0" borderId="0" xfId="0" applyAlignment="1">
      <alignment horizontal="center" wrapText="1"/>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0" borderId="0" xfId="0" applyAlignment="1">
      <alignment vertical="center"/>
      <extLst>
        <ext xmlns:xfpb="http://schemas.microsoft.com/office/spreadsheetml/2022/featurepropertybag" uri="{C7286773-470A-42A8-94C5-96B5CB345126}">
          <xfpb:xfComplement i="0"/>
        </ext>
      </extLst>
    </xf>
    <xf numFmtId="0" fontId="15" fillId="0" borderId="0" xfId="0" applyFont="1"/>
    <xf numFmtId="9" fontId="0" fillId="0" borderId="0" xfId="0" applyNumberFormat="1"/>
    <xf numFmtId="9" fontId="0" fillId="0" borderId="0" xfId="0" applyNumberFormat="1" applyAlignment="1">
      <alignment horizontal="center"/>
    </xf>
    <xf numFmtId="9" fontId="0" fillId="0" borderId="0" xfId="0" applyNumberFormat="1" applyAlignment="1">
      <alignment horizontal="center" vertical="center"/>
    </xf>
    <xf numFmtId="164" fontId="0" fillId="0" borderId="0" xfId="0" applyNumberFormat="1" applyAlignment="1">
      <alignment horizontal="center" vertical="center"/>
    </xf>
    <xf numFmtId="0" fontId="14" fillId="10" borderId="0" xfId="0" applyFont="1" applyFill="1" applyAlignment="1">
      <alignment horizontal="center"/>
    </xf>
    <xf numFmtId="0" fontId="18" fillId="0" borderId="0" xfId="0" applyFont="1"/>
    <xf numFmtId="9" fontId="0" fillId="0" borderId="0" xfId="2" applyFont="1"/>
    <xf numFmtId="0" fontId="0" fillId="11" borderId="0" xfId="0" applyFill="1"/>
    <xf numFmtId="0" fontId="17" fillId="9" borderId="6" xfId="0" applyFont="1" applyFill="1" applyBorder="1"/>
    <xf numFmtId="0" fontId="17" fillId="9" borderId="7" xfId="0" applyFont="1" applyFill="1" applyBorder="1" applyAlignment="1">
      <alignment horizontal="center" vertical="center"/>
    </xf>
    <xf numFmtId="9" fontId="17" fillId="9" borderId="7" xfId="0" applyNumberFormat="1" applyFont="1" applyFill="1" applyBorder="1" applyAlignment="1">
      <alignment horizontal="center" vertical="center"/>
    </xf>
    <xf numFmtId="164" fontId="17" fillId="9" borderId="8" xfId="0" applyNumberFormat="1" applyFont="1" applyFill="1" applyBorder="1" applyAlignment="1">
      <alignment horizontal="center" vertical="center"/>
    </xf>
    <xf numFmtId="0" fontId="0" fillId="0" borderId="0" xfId="0" pivotButton="1" applyAlignment="1">
      <alignment horizontal="center"/>
    </xf>
    <xf numFmtId="9" fontId="2" fillId="0" borderId="0" xfId="2" applyFont="1" applyFill="1" applyAlignment="1">
      <alignment horizontal="center"/>
    </xf>
    <xf numFmtId="9" fontId="2" fillId="11" borderId="5" xfId="2" applyFont="1" applyFill="1" applyBorder="1" applyAlignment="1">
      <alignment horizontal="center"/>
    </xf>
    <xf numFmtId="0" fontId="0" fillId="0" borderId="9" xfId="0" applyBorder="1" applyAlignment="1">
      <alignment horizontal="center"/>
    </xf>
    <xf numFmtId="0" fontId="19" fillId="0" borderId="10" xfId="0" applyFont="1" applyBorder="1" applyAlignment="1">
      <alignment horizontal="center"/>
    </xf>
    <xf numFmtId="0" fontId="19" fillId="0" borderId="0" xfId="0" applyFont="1"/>
    <xf numFmtId="9" fontId="20" fillId="0" borderId="0" xfId="0" applyNumberFormat="1" applyFont="1"/>
    <xf numFmtId="165" fontId="16" fillId="0" borderId="11" xfId="0" applyNumberFormat="1" applyFont="1" applyBorder="1"/>
    <xf numFmtId="0" fontId="18" fillId="0" borderId="12" xfId="0" applyFont="1" applyBorder="1"/>
    <xf numFmtId="0" fontId="0" fillId="0" borderId="12" xfId="0" applyBorder="1"/>
    <xf numFmtId="0" fontId="21" fillId="0" borderId="13" xfId="0" applyFont="1" applyBorder="1" applyAlignment="1">
      <alignment horizontal="left" vertical="center"/>
    </xf>
    <xf numFmtId="0" fontId="21" fillId="0" borderId="13" xfId="0" applyFont="1" applyBorder="1" applyAlignment="1">
      <alignment horizontal="center" vertical="center"/>
    </xf>
    <xf numFmtId="164" fontId="17" fillId="0" borderId="0" xfId="0" applyNumberFormat="1" applyFont="1" applyAlignment="1">
      <alignment horizontal="center"/>
    </xf>
    <xf numFmtId="0" fontId="17" fillId="0" borderId="0" xfId="0" applyFont="1"/>
    <xf numFmtId="0" fontId="23" fillId="11" borderId="0" xfId="0" applyFont="1" applyFill="1"/>
    <xf numFmtId="0" fontId="25" fillId="11" borderId="0" xfId="0" applyFont="1" applyFill="1"/>
    <xf numFmtId="0" fontId="27" fillId="11" borderId="0" xfId="0" applyFont="1" applyFill="1"/>
    <xf numFmtId="0" fontId="0" fillId="12" borderId="0" xfId="0" applyFill="1"/>
    <xf numFmtId="0" fontId="13" fillId="0" borderId="1" xfId="0" applyFont="1" applyBorder="1" applyAlignment="1">
      <alignment horizontal="center" vertical="center"/>
    </xf>
    <xf numFmtId="0" fontId="3" fillId="0" borderId="0" xfId="0" applyFont="1" applyAlignment="1">
      <alignment vertical="center"/>
    </xf>
    <xf numFmtId="0" fontId="0" fillId="0" borderId="0" xfId="0" applyAlignment="1">
      <alignment horizontal="left" vertical="top" wrapText="1"/>
    </xf>
    <xf numFmtId="0" fontId="5" fillId="13" borderId="0" xfId="0" applyFont="1" applyFill="1"/>
    <xf numFmtId="0" fontId="0" fillId="13" borderId="0" xfId="0" applyFill="1"/>
    <xf numFmtId="0" fontId="0" fillId="13" borderId="0" xfId="0" applyFill="1" applyAlignment="1">
      <alignment horizontal="center"/>
    </xf>
  </cellXfs>
  <cellStyles count="3">
    <cellStyle name="Currency" xfId="1" builtinId="4"/>
    <cellStyle name="Normal" xfId="0" builtinId="0"/>
    <cellStyle name="Percent" xfId="2" builtinId="5"/>
  </cellStyles>
  <dxfs count="132">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theme="1"/>
      </font>
      <fill>
        <patternFill>
          <fgColor rgb="FF66FF33"/>
        </patternFill>
      </fill>
    </dxf>
    <dxf>
      <font>
        <color rgb="FF006100"/>
      </font>
      <fill>
        <patternFill>
          <bgColor rgb="FFC6EFCE"/>
        </patternFill>
      </fill>
    </dxf>
    <dxf>
      <font>
        <color rgb="FF9C5700"/>
      </font>
      <fill>
        <patternFill>
          <bgColor rgb="FFFFEB9C"/>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alignment horizontal="general" vertical="bottom" textRotation="0" wrapText="1" indent="0" justifyLastLine="0" shrinkToFit="0" readingOrder="0"/>
    </dxf>
    <dxf>
      <alignment horizontal="right"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quot;$&quot;#,##0.00"/>
      <alignment horizontal="center"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00B0F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alignment horizontal="general" vertical="bottom" textRotation="0" wrapText="1" indent="0" justifyLastLine="0" shrinkToFit="0" readingOrder="0"/>
    </dxf>
    <dxf>
      <alignment horizontal="right" vertical="bottom" textRotation="0" wrapText="0" indent="0" justifyLastLine="0" shrinkToFit="0" readingOrder="0"/>
    </dxf>
    <dxf>
      <numFmt numFmtId="164" formatCode="&quot;$&quot;#,##0.00"/>
    </dxf>
    <dxf>
      <alignment horizontal="right"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theme="9" tint="-0.249977111117893"/>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alignment horizontal="general" vertical="bottom" textRotation="0" wrapText="1" indent="0" justifyLastLine="0" shrinkToFit="0" readingOrder="0"/>
    </dxf>
    <dxf>
      <alignment horizontal="right" vertical="bottom" textRotation="0" wrapText="0" indent="0" justifyLastLine="0" shrinkToFit="0" readingOrder="0"/>
    </dxf>
    <dxf>
      <numFmt numFmtId="164" formatCode="&quot;$&quot;#,##0.00"/>
      <alignment horizontal="center"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7030A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alignment horizontal="general" vertical="bottom" textRotation="0" wrapText="1" indent="0" justifyLastLine="0" shrinkToFit="0" readingOrder="0"/>
    </dxf>
    <dxf>
      <alignment horizontal="right" vertical="bottom" textRotation="0" wrapText="0" indent="0" justifyLastLine="0" shrinkToFit="0" readingOrder="0"/>
    </dxf>
    <dxf>
      <numFmt numFmtId="164" formatCode="&quot;$&quot;#,##0.00"/>
      <alignment horizontal="center"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4C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alignment horizontal="general" vertical="bottom" textRotation="0" wrapText="1" indent="0" justifyLastLine="0" shrinkToFit="0" readingOrder="0"/>
    </dxf>
    <dxf>
      <alignment horizontal="right" vertical="bottom" textRotation="0" wrapText="0" indent="0" justifyLastLine="0" shrinkToFit="0" readingOrder="0"/>
    </dxf>
    <dxf>
      <numFmt numFmtId="164" formatCode="&quot;$&quot;#,##0.00"/>
      <alignment horizontal="center"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center" vertical="bottom" textRotation="0" wrapText="0" indent="0" justifyLastLine="0" shrinkToFit="0" readingOrder="0"/>
    </dxf>
    <dxf>
      <font>
        <b/>
        <strike val="0"/>
        <outline val="0"/>
        <shadow val="0"/>
        <u val="none"/>
        <vertAlign val="baseline"/>
        <sz val="12"/>
        <color theme="1"/>
        <name val="Calibri"/>
        <family val="2"/>
        <scheme val="minor"/>
      </font>
      <fill>
        <patternFill patternType="solid">
          <fgColor indexed="64"/>
          <bgColor rgb="FF662395"/>
        </patternFill>
      </fill>
      <alignment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quot;$&quot;#,##0.00"/>
      <alignment horizontal="center" vertical="bottom" textRotation="0" wrapText="0" indent="0" justifyLastLine="0" shrinkToFit="0" readingOrder="0"/>
    </dxf>
    <dxf>
      <alignment horizontal="right"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001845"/>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alignment vertical="bottom" textRotation="0" wrapText="1" indent="0" justifyLastLine="0" shrinkToFit="0" readingOrder="0"/>
    </dxf>
    <dxf>
      <numFmt numFmtId="164" formatCode="&quot;$&quot;#,##0.00"/>
      <alignment horizontal="center"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005400"/>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numFmt numFmtId="164" formatCode="&quot;$&quot;#,##0.0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alignment horizontal="right" textRotation="0" wrapText="0" indent="0" justifyLastLine="0" shrinkToFit="0" readingOrder="0"/>
    </dxf>
    <dxf>
      <fill>
        <patternFill patternType="none">
          <fgColor indexed="64"/>
          <bgColor auto="1"/>
        </patternFill>
      </fill>
    </dxf>
    <dxf>
      <numFmt numFmtId="0" formatCode="General"/>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bottom style="thin">
          <color indexed="64"/>
        </bottom>
      </border>
    </dxf>
    <dxf>
      <font>
        <b/>
        <strike val="0"/>
        <outline val="0"/>
        <shadow val="0"/>
        <u val="none"/>
        <vertAlign val="baseline"/>
        <sz val="12"/>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strike val="0"/>
        <outline val="0"/>
        <shadow val="0"/>
        <u val="none"/>
        <vertAlign val="baseline"/>
        <sz val="11"/>
        <color auto="1"/>
        <name val="Calibri"/>
        <family val="2"/>
        <scheme val="minor"/>
      </font>
      <numFmt numFmtId="164" formatCode="&quot;$&quot;#,##0.00"/>
      <alignment horizontal="center" vertical="bottom" textRotation="0" wrapText="0" indent="0" justifyLastLine="0" shrinkToFit="0" readingOrder="0"/>
    </dxf>
    <dxf>
      <font>
        <b/>
      </font>
    </dxf>
    <dxf>
      <font>
        <b/>
        <strike val="0"/>
        <outline val="0"/>
        <shadow val="0"/>
        <u val="none"/>
        <vertAlign val="baseline"/>
        <sz val="11"/>
        <color auto="1"/>
        <name val="Calibri"/>
        <family val="2"/>
        <scheme val="minor"/>
      </font>
    </dxf>
    <dxf>
      <border>
        <bottom style="thin">
          <color indexed="64"/>
        </bottom>
      </border>
    </dxf>
    <dxf>
      <font>
        <b/>
        <i val="0"/>
        <strike val="0"/>
        <condense val="0"/>
        <extend val="0"/>
        <outline val="0"/>
        <shadow val="0"/>
        <u val="none"/>
        <vertAlign val="baseline"/>
        <sz val="14"/>
        <color rgb="FF002060"/>
        <name val="Calibri"/>
        <family val="2"/>
        <scheme val="minor"/>
      </font>
      <fill>
        <patternFill patternType="none">
          <fgColor indexed="64"/>
          <bgColor auto="1"/>
        </patternFill>
      </fill>
      <alignment horizontal="left" vertical="center" textRotation="0" wrapText="0" indent="0" justifyLastLine="0" shrinkToFit="0" readingOrder="0"/>
    </dxf>
    <dxf>
      <numFmt numFmtId="164" formatCode="&quot;$&quot;#,##0.00"/>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002060"/>
        </patternFill>
      </fill>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font>
        <color theme="1" tint="0.499984740745262"/>
      </font>
    </dxf>
    <dxf>
      <alignment horizontal="center"/>
    </dxf>
    <dxf>
      <alignment horizontal="center"/>
    </dxf>
    <dxf>
      <alignment horizontal="center"/>
    </dxf>
    <dxf>
      <alignment horizontal="center"/>
    </dxf>
    <dxf>
      <alignment horizontal="center"/>
    </dxf>
    <dxf>
      <font>
        <color theme="0"/>
      </font>
    </dxf>
    <dxf>
      <numFmt numFmtId="165" formatCode="&quot;$&quot;#,##0.00;[Red]&quot;$&quot;#,##0.00"/>
    </dxf>
    <dxf>
      <border>
        <left style="thick">
          <color rgb="FF66FF33"/>
        </left>
        <right style="thick">
          <color rgb="FF66FF33"/>
        </right>
        <top style="thick">
          <color rgb="FF66FF33"/>
        </top>
        <bottom style="thick">
          <color rgb="FF66FF33"/>
        </bottom>
      </border>
    </dxf>
    <dxf>
      <border>
        <left style="thick">
          <color rgb="FF66FF33"/>
        </left>
        <right style="thick">
          <color rgb="FF66FF33"/>
        </right>
        <top style="thick">
          <color rgb="FF66FF33"/>
        </top>
        <bottom style="thick">
          <color rgb="FF66FF33"/>
        </bottom>
      </border>
    </dxf>
    <dxf>
      <alignment horizontal="center"/>
    </dxf>
    <dxf>
      <alignment horizontal="center"/>
    </dxf>
    <dxf>
      <alignment horizontal="center"/>
    </dxf>
  </dxfs>
  <tableStyles count="1" defaultTableStyle="TableStyleMedium9" defaultPivotStyle="PivotStyleLight16">
    <tableStyle name="Invisible" pivot="0" table="0" count="0" xr9:uid="{A4410B9B-C08E-492F-BC8A-4B7C284D4AAD}"/>
  </tableStyles>
  <colors>
    <mruColors>
      <color rgb="FF66FF33"/>
      <color rgb="FF008000"/>
      <color rgb="FFA20000"/>
      <color rgb="FF007BB8"/>
      <color rgb="FFFFFF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[case study_coordinator_assignments_v4.xlsx]Pivot Tab!PivotTable24</c:name>
    <c:fmtId val="38"/>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2000" b="1">
                <a:solidFill>
                  <a:srgbClr val="002060"/>
                </a:solidFill>
              </a:rPr>
              <a:t>Completion</a:t>
            </a:r>
            <a:r>
              <a:rPr lang="en-US" sz="2000" b="1" baseline="0">
                <a:solidFill>
                  <a:srgbClr val="002060"/>
                </a:solidFill>
              </a:rPr>
              <a:t> by Coordinator</a:t>
            </a:r>
            <a:br>
              <a:rPr lang="en-US" baseline="0"/>
            </a:br>
            <a:r>
              <a:rPr lang="en-US" sz="1200" b="1" baseline="0">
                <a:solidFill>
                  <a:schemeClr val="tx1">
                    <a:lumMod val="85000"/>
                    <a:lumOff val="15000"/>
                  </a:schemeClr>
                </a:solidFill>
              </a:rPr>
              <a:t>% of each coordinator's book fully onboarded. Marisol &amp; Trevor lead; Yuki, Priya &amp; Hannah trail</a:t>
            </a:r>
            <a:r>
              <a:rPr lang="en-US" b="1" baseline="0">
                <a:solidFill>
                  <a:schemeClr val="tx1">
                    <a:lumMod val="85000"/>
                    <a:lumOff val="15000"/>
                  </a:schemeClr>
                </a:solidFill>
              </a:rPr>
              <a:t>. </a:t>
            </a:r>
            <a:endParaRPr lang="en-US" b="1">
              <a:solidFill>
                <a:schemeClr val="tx1">
                  <a:lumMod val="85000"/>
                  <a:lumOff val="15000"/>
                </a:schemeClr>
              </a:solidFill>
            </a:endParaRPr>
          </a:p>
        </c:rich>
      </c:tx>
      <c:layout>
        <c:manualLayout>
          <c:xMode val="edge"/>
          <c:yMode val="edge"/>
          <c:x val="2.4795123750027116E-2"/>
          <c:y val="2.348456442944631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alpha val="74000"/>
            </a:srgbClr>
          </a:solidFill>
          <a:ln>
            <a:noFill/>
          </a:ln>
          <a:effectLst/>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alpha val="74000"/>
            </a:schemeClr>
          </a:solidFill>
          <a:ln>
            <a:noFill/>
          </a:ln>
          <a:effectLst/>
          <a:sp3d/>
        </c:spPr>
      </c:pivotFmt>
      <c:pivotFmt>
        <c:idx val="5"/>
        <c:spPr>
          <a:solidFill>
            <a:schemeClr val="accent3">
              <a:alpha val="74000"/>
            </a:schemeClr>
          </a:solidFill>
          <a:ln>
            <a:noFill/>
          </a:ln>
          <a:effectLst/>
          <a:sp3d/>
        </c:spPr>
      </c:pivotFmt>
      <c:pivotFmt>
        <c:idx val="6"/>
        <c:spPr>
          <a:solidFill>
            <a:srgbClr val="FFFF00">
              <a:alpha val="73725"/>
            </a:srgbClr>
          </a:solidFill>
          <a:ln>
            <a:noFill/>
          </a:ln>
          <a:effectLst/>
          <a:sp3d/>
        </c:spPr>
      </c:pivotFmt>
      <c:pivotFmt>
        <c:idx val="7"/>
        <c:spPr>
          <a:solidFill>
            <a:schemeClr val="accent3">
              <a:alpha val="74000"/>
            </a:schemeClr>
          </a:solidFill>
          <a:ln>
            <a:noFill/>
          </a:ln>
          <a:effectLst/>
          <a:sp3d/>
        </c:spPr>
      </c:pivotFmt>
      <c:pivotFmt>
        <c:idx val="8"/>
        <c:spPr>
          <a:solidFill>
            <a:srgbClr val="FFFF00">
              <a:alpha val="74000"/>
            </a:srgbClr>
          </a:solidFill>
          <a:ln>
            <a:noFill/>
          </a:ln>
          <a:effectLst/>
          <a:sp3d/>
        </c:spPr>
      </c:pivotFmt>
      <c:pivotFmt>
        <c:idx val="9"/>
        <c:spPr>
          <a:solidFill>
            <a:schemeClr val="tx2">
              <a:lumMod val="60000"/>
              <a:lumOff val="40000"/>
              <a:alpha val="74000"/>
            </a:schemeClr>
          </a:solidFill>
          <a:ln>
            <a:noFill/>
          </a:ln>
          <a:effectLst/>
          <a:sp3d/>
        </c:spPr>
      </c:pivotFmt>
      <c:pivotFmt>
        <c:idx val="10"/>
        <c:spPr>
          <a:solidFill>
            <a:schemeClr val="tx2">
              <a:lumMod val="60000"/>
              <a:lumOff val="40000"/>
              <a:alpha val="74000"/>
            </a:schemeClr>
          </a:solidFill>
          <a:ln>
            <a:noFill/>
          </a:ln>
          <a:effectLst/>
          <a:sp3d/>
        </c:spPr>
      </c:pivotFmt>
      <c:pivotFmt>
        <c:idx val="11"/>
        <c:spPr>
          <a:solidFill>
            <a:srgbClr val="002060">
              <a:alpha val="74000"/>
            </a:srgb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60000"/>
              <a:lumOff val="40000"/>
              <a:alpha val="74000"/>
            </a:schemeClr>
          </a:solidFill>
          <a:ln>
            <a:noFill/>
          </a:ln>
          <a:effectLst/>
          <a:sp3d/>
        </c:spPr>
      </c:pivotFmt>
      <c:pivotFmt>
        <c:idx val="13"/>
        <c:spPr>
          <a:solidFill>
            <a:schemeClr val="tx2">
              <a:lumMod val="60000"/>
              <a:lumOff val="40000"/>
              <a:alpha val="74000"/>
            </a:schemeClr>
          </a:solidFill>
          <a:ln>
            <a:noFill/>
          </a:ln>
          <a:effectLst/>
          <a:sp3d/>
        </c:spPr>
      </c:pivotFmt>
      <c:pivotFmt>
        <c:idx val="14"/>
        <c:spPr>
          <a:solidFill>
            <a:srgbClr val="FFFF00">
              <a:alpha val="74000"/>
            </a:srgbClr>
          </a:solidFill>
          <a:ln>
            <a:noFill/>
          </a:ln>
          <a:effectLst/>
          <a:sp3d/>
        </c:spPr>
      </c:pivotFmt>
      <c:pivotFmt>
        <c:idx val="15"/>
        <c:spPr>
          <a:solidFill>
            <a:schemeClr val="accent3">
              <a:alpha val="74000"/>
            </a:schemeClr>
          </a:solidFill>
          <a:ln>
            <a:noFill/>
          </a:ln>
          <a:effectLst/>
          <a:sp3d/>
        </c:spPr>
      </c:pivotFmt>
      <c:pivotFmt>
        <c:idx val="16"/>
        <c:spPr>
          <a:solidFill>
            <a:srgbClr val="FFFF00">
              <a:alpha val="73725"/>
            </a:srgbClr>
          </a:solidFill>
          <a:ln>
            <a:noFill/>
          </a:ln>
          <a:effectLst/>
          <a:sp3d/>
        </c:spPr>
      </c:pivotFmt>
      <c:pivotFmt>
        <c:idx val="17"/>
        <c:spPr>
          <a:solidFill>
            <a:schemeClr val="accent3">
              <a:alpha val="74000"/>
            </a:schemeClr>
          </a:solidFill>
          <a:ln>
            <a:noFill/>
          </a:ln>
          <a:effectLst/>
          <a:sp3d/>
        </c:spPr>
      </c:pivotFmt>
      <c:pivotFmt>
        <c:idx val="18"/>
        <c:spPr>
          <a:solidFill>
            <a:schemeClr val="accent2">
              <a:lumMod val="75000"/>
              <a:alpha val="74000"/>
            </a:schemeClr>
          </a:solidFill>
          <a:ln>
            <a:noFill/>
          </a:ln>
          <a:effectLst/>
          <a:sp3d/>
        </c:spPr>
      </c:pivotFmt>
      <c:pivotFmt>
        <c:idx val="19"/>
        <c:spPr>
          <a:solidFill>
            <a:srgbClr val="002060">
              <a:alpha val="74000"/>
            </a:srgb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tx2">
              <a:lumMod val="60000"/>
              <a:lumOff val="40000"/>
              <a:alpha val="74000"/>
            </a:schemeClr>
          </a:solidFill>
          <a:ln>
            <a:noFill/>
          </a:ln>
          <a:effectLst/>
          <a:sp3d/>
        </c:spPr>
      </c:pivotFmt>
      <c:pivotFmt>
        <c:idx val="21"/>
        <c:spPr>
          <a:solidFill>
            <a:schemeClr val="tx2">
              <a:lumMod val="60000"/>
              <a:lumOff val="40000"/>
              <a:alpha val="74000"/>
            </a:schemeClr>
          </a:solidFill>
          <a:ln>
            <a:noFill/>
          </a:ln>
          <a:effectLst/>
          <a:sp3d/>
        </c:spPr>
      </c:pivotFmt>
      <c:pivotFmt>
        <c:idx val="22"/>
        <c:spPr>
          <a:solidFill>
            <a:srgbClr val="FFFF00">
              <a:alpha val="74000"/>
            </a:srgbClr>
          </a:solidFill>
          <a:ln>
            <a:noFill/>
          </a:ln>
          <a:effectLst/>
          <a:sp3d/>
        </c:spPr>
      </c:pivotFmt>
      <c:pivotFmt>
        <c:idx val="23"/>
        <c:spPr>
          <a:solidFill>
            <a:srgbClr val="008000">
              <a:alpha val="74000"/>
            </a:srgbClr>
          </a:solidFill>
          <a:ln>
            <a:noFill/>
          </a:ln>
          <a:effectLst/>
          <a:sp3d/>
        </c:spPr>
      </c:pivotFmt>
      <c:pivotFmt>
        <c:idx val="24"/>
        <c:spPr>
          <a:solidFill>
            <a:srgbClr val="FFFF00">
              <a:alpha val="73725"/>
            </a:srgbClr>
          </a:solidFill>
          <a:ln>
            <a:noFill/>
          </a:ln>
          <a:effectLst/>
          <a:sp3d/>
        </c:spPr>
      </c:pivotFmt>
      <c:pivotFmt>
        <c:idx val="25"/>
        <c:spPr>
          <a:solidFill>
            <a:srgbClr val="008000">
              <a:alpha val="74000"/>
            </a:srgbClr>
          </a:solidFill>
          <a:ln>
            <a:noFill/>
          </a:ln>
          <a:effectLst/>
          <a:sp3d/>
        </c:spPr>
      </c:pivotFmt>
      <c:pivotFmt>
        <c:idx val="26"/>
        <c:spPr>
          <a:solidFill>
            <a:schemeClr val="accent2">
              <a:lumMod val="75000"/>
              <a:alpha val="74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919071892872895"/>
          <c:y val="0.14883435025167308"/>
          <c:w val="0.76054257680599846"/>
          <c:h val="0.68416330733777897"/>
        </c:manualLayout>
      </c:layout>
      <c:bar3DChart>
        <c:barDir val="bar"/>
        <c:grouping val="clustered"/>
        <c:varyColors val="1"/>
        <c:ser>
          <c:idx val="0"/>
          <c:order val="0"/>
          <c:tx>
            <c:strRef>
              <c:f>'Pivot Tab'!$H$15</c:f>
              <c:strCache>
                <c:ptCount val="1"/>
                <c:pt idx="0">
                  <c:v>Total</c:v>
                </c:pt>
              </c:strCache>
            </c:strRef>
          </c:tx>
          <c:spPr>
            <a:solidFill>
              <a:srgbClr val="002060">
                <a:alpha val="74000"/>
              </a:srgbClr>
            </a:solidFill>
            <a:ln>
              <a:noFill/>
            </a:ln>
          </c:spPr>
          <c:invertIfNegative val="0"/>
          <c:dPt>
            <c:idx val="0"/>
            <c:invertIfNegative val="0"/>
            <c:bubble3D val="0"/>
            <c:spPr>
              <a:solidFill>
                <a:schemeClr val="accent2">
                  <a:lumMod val="75000"/>
                  <a:alpha val="74000"/>
                </a:schemeClr>
              </a:solidFill>
              <a:ln>
                <a:noFill/>
              </a:ln>
              <a:effectLst/>
              <a:sp3d/>
            </c:spPr>
            <c:extLst>
              <c:ext xmlns:c16="http://schemas.microsoft.com/office/drawing/2014/chart" uri="{C3380CC4-5D6E-409C-BE32-E72D297353CC}">
                <c16:uniqueId val="{00000001-C575-448F-AD06-5F89AEEF90EE}"/>
              </c:ext>
            </c:extLst>
          </c:dPt>
          <c:dPt>
            <c:idx val="1"/>
            <c:invertIfNegative val="0"/>
            <c:bubble3D val="0"/>
            <c:spPr>
              <a:solidFill>
                <a:srgbClr val="FFFF00">
                  <a:alpha val="73725"/>
                </a:srgbClr>
              </a:solidFill>
              <a:ln>
                <a:noFill/>
              </a:ln>
              <a:effectLst/>
              <a:sp3d/>
            </c:spPr>
            <c:extLst>
              <c:ext xmlns:c16="http://schemas.microsoft.com/office/drawing/2014/chart" uri="{C3380CC4-5D6E-409C-BE32-E72D297353CC}">
                <c16:uniqueId val="{00000003-C575-448F-AD06-5F89AEEF90EE}"/>
              </c:ext>
            </c:extLst>
          </c:dPt>
          <c:dPt>
            <c:idx val="2"/>
            <c:invertIfNegative val="0"/>
            <c:bubble3D val="0"/>
            <c:spPr>
              <a:solidFill>
                <a:srgbClr val="FFFF00">
                  <a:alpha val="74000"/>
                </a:srgbClr>
              </a:solidFill>
              <a:ln>
                <a:noFill/>
              </a:ln>
              <a:effectLst/>
              <a:sp3d/>
            </c:spPr>
            <c:extLst>
              <c:ext xmlns:c16="http://schemas.microsoft.com/office/drawing/2014/chart" uri="{C3380CC4-5D6E-409C-BE32-E72D297353CC}">
                <c16:uniqueId val="{00000005-C575-448F-AD06-5F89AEEF90EE}"/>
              </c:ext>
            </c:extLst>
          </c:dPt>
          <c:dPt>
            <c:idx val="3"/>
            <c:invertIfNegative val="0"/>
            <c:bubble3D val="0"/>
            <c:spPr>
              <a:solidFill>
                <a:schemeClr val="tx2">
                  <a:lumMod val="60000"/>
                  <a:lumOff val="40000"/>
                  <a:alpha val="74000"/>
                </a:schemeClr>
              </a:solidFill>
              <a:ln>
                <a:noFill/>
              </a:ln>
              <a:effectLst/>
              <a:sp3d/>
            </c:spPr>
            <c:extLst>
              <c:ext xmlns:c16="http://schemas.microsoft.com/office/drawing/2014/chart" uri="{C3380CC4-5D6E-409C-BE32-E72D297353CC}">
                <c16:uniqueId val="{00000007-C575-448F-AD06-5F89AEEF90EE}"/>
              </c:ext>
            </c:extLst>
          </c:dPt>
          <c:dPt>
            <c:idx val="4"/>
            <c:invertIfNegative val="0"/>
            <c:bubble3D val="0"/>
            <c:spPr>
              <a:solidFill>
                <a:schemeClr val="tx2">
                  <a:lumMod val="60000"/>
                  <a:lumOff val="40000"/>
                  <a:alpha val="74000"/>
                </a:schemeClr>
              </a:solidFill>
              <a:ln>
                <a:noFill/>
              </a:ln>
              <a:effectLst/>
              <a:sp3d/>
            </c:spPr>
            <c:extLst>
              <c:ext xmlns:c16="http://schemas.microsoft.com/office/drawing/2014/chart" uri="{C3380CC4-5D6E-409C-BE32-E72D297353CC}">
                <c16:uniqueId val="{00000009-C575-448F-AD06-5F89AEEF90EE}"/>
              </c:ext>
            </c:extLst>
          </c:dPt>
          <c:dPt>
            <c:idx val="5"/>
            <c:invertIfNegative val="0"/>
            <c:bubble3D val="0"/>
            <c:spPr>
              <a:solidFill>
                <a:srgbClr val="008000">
                  <a:alpha val="74000"/>
                </a:srgbClr>
              </a:solidFill>
              <a:ln>
                <a:noFill/>
              </a:ln>
              <a:effectLst/>
              <a:sp3d/>
            </c:spPr>
            <c:extLst>
              <c:ext xmlns:c16="http://schemas.microsoft.com/office/drawing/2014/chart" uri="{C3380CC4-5D6E-409C-BE32-E72D297353CC}">
                <c16:uniqueId val="{0000000B-C575-448F-AD06-5F89AEEF90EE}"/>
              </c:ext>
            </c:extLst>
          </c:dPt>
          <c:dPt>
            <c:idx val="6"/>
            <c:invertIfNegative val="0"/>
            <c:bubble3D val="0"/>
            <c:spPr>
              <a:solidFill>
                <a:srgbClr val="008000">
                  <a:alpha val="74000"/>
                </a:srgbClr>
              </a:solidFill>
              <a:ln>
                <a:noFill/>
              </a:ln>
              <a:effectLst/>
              <a:sp3d/>
            </c:spPr>
            <c:extLst>
              <c:ext xmlns:c16="http://schemas.microsoft.com/office/drawing/2014/chart" uri="{C3380CC4-5D6E-409C-BE32-E72D297353CC}">
                <c16:uniqueId val="{0000000D-C575-448F-AD06-5F89AEEF90EE}"/>
              </c:ext>
            </c:extLst>
          </c:dPt>
          <c:cat>
            <c:strRef>
              <c:f>'Pivot Tab'!$G$16:$G$23</c:f>
              <c:strCache>
                <c:ptCount val="7"/>
                <c:pt idx="0">
                  <c:v>Yuki Tanaka</c:v>
                </c:pt>
                <c:pt idx="1">
                  <c:v>Priya Kapoor</c:v>
                </c:pt>
                <c:pt idx="2">
                  <c:v>Hannah Whitlock</c:v>
                </c:pt>
                <c:pt idx="3">
                  <c:v>Andre Boseman</c:v>
                </c:pt>
                <c:pt idx="4">
                  <c:v>Damon Fields</c:v>
                </c:pt>
                <c:pt idx="5">
                  <c:v>Marisol Reyes</c:v>
                </c:pt>
                <c:pt idx="6">
                  <c:v>Trevor Nguyen</c:v>
                </c:pt>
              </c:strCache>
            </c:strRef>
          </c:cat>
          <c:val>
            <c:numRef>
              <c:f>'Pivot Tab'!$H$16:$H$23</c:f>
              <c:numCache>
                <c:formatCode>0%</c:formatCode>
                <c:ptCount val="7"/>
                <c:pt idx="0">
                  <c:v>0.18867924528301888</c:v>
                </c:pt>
                <c:pt idx="1">
                  <c:v>0.28301886792452829</c:v>
                </c:pt>
                <c:pt idx="2">
                  <c:v>0.28846153846153844</c:v>
                </c:pt>
                <c:pt idx="3">
                  <c:v>0.37735849056603776</c:v>
                </c:pt>
                <c:pt idx="4">
                  <c:v>0.37735849056603776</c:v>
                </c:pt>
                <c:pt idx="5">
                  <c:v>0.56603773584905659</c:v>
                </c:pt>
                <c:pt idx="6">
                  <c:v>0.56603773584905659</c:v>
                </c:pt>
              </c:numCache>
            </c:numRef>
          </c:val>
          <c:extLst>
            <c:ext xmlns:c16="http://schemas.microsoft.com/office/drawing/2014/chart" uri="{C3380CC4-5D6E-409C-BE32-E72D297353CC}">
              <c16:uniqueId val="{0000000E-C575-448F-AD06-5F89AEEF90EE}"/>
            </c:ext>
          </c:extLst>
        </c:ser>
        <c:dLbls>
          <c:showLegendKey val="0"/>
          <c:showVal val="0"/>
          <c:showCatName val="0"/>
          <c:showSerName val="0"/>
          <c:showPercent val="0"/>
          <c:showBubbleSize val="0"/>
        </c:dLbls>
        <c:gapWidth val="150"/>
        <c:shape val="box"/>
        <c:axId val="63925983"/>
        <c:axId val="1803104304"/>
        <c:axId val="0"/>
      </c:bar3DChart>
      <c:catAx>
        <c:axId val="63925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03104304"/>
        <c:crosses val="autoZero"/>
        <c:auto val="1"/>
        <c:lblAlgn val="ctr"/>
        <c:lblOffset val="100"/>
        <c:noMultiLvlLbl val="0"/>
      </c:catAx>
      <c:valAx>
        <c:axId val="18031043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6392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r>
              <a:rPr lang="en-US" sz="2000">
                <a:solidFill>
                  <a:srgbClr val="002060"/>
                </a:solidFill>
              </a:rPr>
              <a:t>OVERALL STATUS MIX</a:t>
            </a:r>
            <a:br>
              <a:rPr lang="en-US" sz="1800"/>
            </a:br>
            <a:r>
              <a:rPr lang="en-US" sz="1200">
                <a:solidFill>
                  <a:sysClr val="windowText" lastClr="000000"/>
                </a:solidFill>
              </a:rPr>
              <a:t>All 370 suppliers by onboarding stage</a:t>
            </a:r>
            <a:r>
              <a:rPr lang="en-US" sz="1400">
                <a:solidFill>
                  <a:srgbClr val="002060"/>
                </a:solidFill>
              </a:rPr>
              <a:t>.</a:t>
            </a:r>
          </a:p>
        </c:rich>
      </c:tx>
      <c:layout>
        <c:manualLayout>
          <c:xMode val="edge"/>
          <c:yMode val="edge"/>
          <c:x val="2.2312255642541686E-2"/>
          <c:y val="7.4782223888616266E-3"/>
        </c:manualLayout>
      </c:layout>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6.1924757416919926E-2"/>
          <c:y val="0.2044659589055326"/>
          <c:w val="0.58109555387500489"/>
          <c:h val="0.69814309458661183"/>
        </c:manualLayout>
      </c:layout>
      <c:doughnutChart>
        <c:varyColors val="1"/>
        <c:ser>
          <c:idx val="0"/>
          <c:order val="0"/>
          <c:tx>
            <c:strRef>
              <c:f>'Dash Support Sheet'!$B$51</c:f>
              <c:strCache>
                <c:ptCount val="1"/>
                <c:pt idx="0">
                  <c:v>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F7-4AF7-AFFD-ED4C6CF4714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F7-4AF7-AFFD-ED4C6CF4714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F7-4AF7-AFFD-ED4C6CF4714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AF7-4AF7-AFFD-ED4C6CF4714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AF7-4AF7-AFFD-ED4C6CF4714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 Support Sheet'!$A$52:$A$56</c:f>
              <c:strCache>
                <c:ptCount val="5"/>
                <c:pt idx="0">
                  <c:v>Completion</c:v>
                </c:pt>
                <c:pt idx="1">
                  <c:v>Received</c:v>
                </c:pt>
                <c:pt idx="2">
                  <c:v>Delayed</c:v>
                </c:pt>
                <c:pt idx="3">
                  <c:v>Delayed  - EOD</c:v>
                </c:pt>
                <c:pt idx="4">
                  <c:v>Poor Commuication</c:v>
                </c:pt>
              </c:strCache>
            </c:strRef>
          </c:cat>
          <c:val>
            <c:numRef>
              <c:f>'Dash Support Sheet'!$B$52:$B$56</c:f>
              <c:numCache>
                <c:formatCode>General</c:formatCode>
                <c:ptCount val="5"/>
                <c:pt idx="0">
                  <c:v>140</c:v>
                </c:pt>
                <c:pt idx="1">
                  <c:v>133</c:v>
                </c:pt>
                <c:pt idx="2">
                  <c:v>62</c:v>
                </c:pt>
                <c:pt idx="3">
                  <c:v>12</c:v>
                </c:pt>
                <c:pt idx="4">
                  <c:v>23</c:v>
                </c:pt>
              </c:numCache>
            </c:numRef>
          </c:val>
          <c:extLst>
            <c:ext xmlns:c16="http://schemas.microsoft.com/office/drawing/2014/chart" uri="{C3380CC4-5D6E-409C-BE32-E72D297353CC}">
              <c16:uniqueId val="{0000000A-2AF7-4AF7-AFFD-ED4C6CF471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874008624531812"/>
          <c:y val="0.19194872885061665"/>
          <c:w val="0.28505352938124334"/>
          <c:h val="0.358195435293053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sz="1800" b="1">
                <a:solidFill>
                  <a:srgbClr val="C00000"/>
                </a:solidFill>
              </a:rPr>
              <a:t>129</a:t>
            </a:r>
            <a:r>
              <a:rPr lang="en-US" sz="1800" b="1" baseline="0">
                <a:solidFill>
                  <a:srgbClr val="C00000"/>
                </a:solidFill>
              </a:rPr>
              <a:t> </a:t>
            </a:r>
            <a:r>
              <a:rPr lang="en-US" sz="1800" b="1" baseline="0">
                <a:solidFill>
                  <a:srgbClr val="002060"/>
                </a:solidFill>
              </a:rPr>
              <a:t>critical suppliers by status</a:t>
            </a:r>
            <a:endParaRPr lang="en-US" sz="1800" b="1">
              <a:solidFill>
                <a:srgbClr val="002060"/>
              </a:solidFill>
            </a:endParaRPr>
          </a:p>
        </c:rich>
      </c:tx>
      <c:layout>
        <c:manualLayout>
          <c:xMode val="edge"/>
          <c:yMode val="edge"/>
          <c:x val="5.4803976219369076E-2"/>
          <c:y val="9.829264894819125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lotArea>
      <c:layout/>
      <c:barChart>
        <c:barDir val="bar"/>
        <c:grouping val="percentStacked"/>
        <c:varyColors val="0"/>
        <c:ser>
          <c:idx val="0"/>
          <c:order val="0"/>
          <c:tx>
            <c:strRef>
              <c:f>'Dash Support Sheet'!$B$90</c:f>
              <c:strCache>
                <c:ptCount val="1"/>
                <c:pt idx="0">
                  <c:v>Complete</c:v>
                </c:pt>
              </c:strCache>
            </c:strRef>
          </c:tx>
          <c:spPr>
            <a:solidFill>
              <a:schemeClr val="accent1"/>
            </a:solidFill>
            <a:ln>
              <a:noFill/>
            </a:ln>
            <a:effectLst/>
          </c:spPr>
          <c:invertIfNegative val="0"/>
          <c:cat>
            <c:strRef>
              <c:f>'Dash Support Sheet'!$A$91</c:f>
              <c:strCache>
                <c:ptCount val="1"/>
                <c:pt idx="0">
                  <c:v>Critical</c:v>
                </c:pt>
              </c:strCache>
            </c:strRef>
          </c:cat>
          <c:val>
            <c:numRef>
              <c:f>'Dash Support Sheet'!$B$91</c:f>
              <c:numCache>
                <c:formatCode>General</c:formatCode>
                <c:ptCount val="1"/>
                <c:pt idx="0">
                  <c:v>64</c:v>
                </c:pt>
              </c:numCache>
            </c:numRef>
          </c:val>
          <c:extLst>
            <c:ext xmlns:c16="http://schemas.microsoft.com/office/drawing/2014/chart" uri="{C3380CC4-5D6E-409C-BE32-E72D297353CC}">
              <c16:uniqueId val="{00000000-21FA-472C-A8EF-DD84B16E6E84}"/>
            </c:ext>
          </c:extLst>
        </c:ser>
        <c:ser>
          <c:idx val="1"/>
          <c:order val="1"/>
          <c:tx>
            <c:strRef>
              <c:f>'Dash Support Sheet'!$C$90</c:f>
              <c:strCache>
                <c:ptCount val="1"/>
                <c:pt idx="0">
                  <c:v>Received</c:v>
                </c:pt>
              </c:strCache>
            </c:strRef>
          </c:tx>
          <c:spPr>
            <a:solidFill>
              <a:schemeClr val="accent6">
                <a:lumMod val="75000"/>
              </a:schemeClr>
            </a:solidFill>
            <a:ln>
              <a:noFill/>
            </a:ln>
            <a:effectLst/>
          </c:spPr>
          <c:invertIfNegative val="0"/>
          <c:cat>
            <c:strRef>
              <c:f>'Dash Support Sheet'!$A$91</c:f>
              <c:strCache>
                <c:ptCount val="1"/>
                <c:pt idx="0">
                  <c:v>Critical</c:v>
                </c:pt>
              </c:strCache>
            </c:strRef>
          </c:cat>
          <c:val>
            <c:numRef>
              <c:f>'Dash Support Sheet'!$C$91</c:f>
              <c:numCache>
                <c:formatCode>General</c:formatCode>
                <c:ptCount val="1"/>
                <c:pt idx="0">
                  <c:v>33</c:v>
                </c:pt>
              </c:numCache>
            </c:numRef>
          </c:val>
          <c:extLst>
            <c:ext xmlns:c16="http://schemas.microsoft.com/office/drawing/2014/chart" uri="{C3380CC4-5D6E-409C-BE32-E72D297353CC}">
              <c16:uniqueId val="{00000001-21FA-472C-A8EF-DD84B16E6E84}"/>
            </c:ext>
          </c:extLst>
        </c:ser>
        <c:ser>
          <c:idx val="2"/>
          <c:order val="2"/>
          <c:tx>
            <c:strRef>
              <c:f>'Dash Support Sheet'!$D$90</c:f>
              <c:strCache>
                <c:ptCount val="1"/>
                <c:pt idx="0">
                  <c:v>Delayed</c:v>
                </c:pt>
              </c:strCache>
            </c:strRef>
          </c:tx>
          <c:spPr>
            <a:solidFill>
              <a:srgbClr val="FFC000"/>
            </a:solidFill>
            <a:ln>
              <a:noFill/>
            </a:ln>
            <a:effectLst/>
          </c:spPr>
          <c:invertIfNegative val="0"/>
          <c:cat>
            <c:strRef>
              <c:f>'Dash Support Sheet'!$A$91</c:f>
              <c:strCache>
                <c:ptCount val="1"/>
                <c:pt idx="0">
                  <c:v>Critical</c:v>
                </c:pt>
              </c:strCache>
            </c:strRef>
          </c:cat>
          <c:val>
            <c:numRef>
              <c:f>'Dash Support Sheet'!$D$91</c:f>
              <c:numCache>
                <c:formatCode>General</c:formatCode>
                <c:ptCount val="1"/>
                <c:pt idx="0">
                  <c:v>26</c:v>
                </c:pt>
              </c:numCache>
            </c:numRef>
          </c:val>
          <c:extLst>
            <c:ext xmlns:c16="http://schemas.microsoft.com/office/drawing/2014/chart" uri="{C3380CC4-5D6E-409C-BE32-E72D297353CC}">
              <c16:uniqueId val="{00000002-21FA-472C-A8EF-DD84B16E6E84}"/>
            </c:ext>
          </c:extLst>
        </c:ser>
        <c:ser>
          <c:idx val="3"/>
          <c:order val="3"/>
          <c:tx>
            <c:strRef>
              <c:f>'Dash Support Sheet'!$E$90</c:f>
              <c:strCache>
                <c:ptCount val="1"/>
                <c:pt idx="0">
                  <c:v>EOD</c:v>
                </c:pt>
              </c:strCache>
            </c:strRef>
          </c:tx>
          <c:spPr>
            <a:solidFill>
              <a:schemeClr val="accent4"/>
            </a:solidFill>
            <a:ln>
              <a:noFill/>
            </a:ln>
            <a:effectLst/>
          </c:spPr>
          <c:invertIfNegative val="0"/>
          <c:cat>
            <c:strRef>
              <c:f>'Dash Support Sheet'!$A$91</c:f>
              <c:strCache>
                <c:ptCount val="1"/>
                <c:pt idx="0">
                  <c:v>Critical</c:v>
                </c:pt>
              </c:strCache>
            </c:strRef>
          </c:cat>
          <c:val>
            <c:numRef>
              <c:f>'Dash Support Sheet'!$E$91</c:f>
              <c:numCache>
                <c:formatCode>General</c:formatCode>
                <c:ptCount val="1"/>
                <c:pt idx="0">
                  <c:v>2</c:v>
                </c:pt>
              </c:numCache>
            </c:numRef>
          </c:val>
          <c:extLst>
            <c:ext xmlns:c16="http://schemas.microsoft.com/office/drawing/2014/chart" uri="{C3380CC4-5D6E-409C-BE32-E72D297353CC}">
              <c16:uniqueId val="{00000003-21FA-472C-A8EF-DD84B16E6E84}"/>
            </c:ext>
          </c:extLst>
        </c:ser>
        <c:ser>
          <c:idx val="4"/>
          <c:order val="4"/>
          <c:tx>
            <c:strRef>
              <c:f>'Dash Support Sheet'!$F$90</c:f>
              <c:strCache>
                <c:ptCount val="1"/>
                <c:pt idx="0">
                  <c:v>Poor Comms</c:v>
                </c:pt>
              </c:strCache>
            </c:strRef>
          </c:tx>
          <c:spPr>
            <a:solidFill>
              <a:schemeClr val="accent5"/>
            </a:solidFill>
            <a:ln>
              <a:noFill/>
            </a:ln>
            <a:effectLst/>
          </c:spPr>
          <c:invertIfNegative val="0"/>
          <c:cat>
            <c:strRef>
              <c:f>'Dash Support Sheet'!$A$91</c:f>
              <c:strCache>
                <c:ptCount val="1"/>
                <c:pt idx="0">
                  <c:v>Critical</c:v>
                </c:pt>
              </c:strCache>
            </c:strRef>
          </c:cat>
          <c:val>
            <c:numRef>
              <c:f>'Dash Support Sheet'!$F$91</c:f>
              <c:numCache>
                <c:formatCode>General</c:formatCode>
                <c:ptCount val="1"/>
                <c:pt idx="0">
                  <c:v>4</c:v>
                </c:pt>
              </c:numCache>
            </c:numRef>
          </c:val>
          <c:extLst>
            <c:ext xmlns:c16="http://schemas.microsoft.com/office/drawing/2014/chart" uri="{C3380CC4-5D6E-409C-BE32-E72D297353CC}">
              <c16:uniqueId val="{00000004-21FA-472C-A8EF-DD84B16E6E84}"/>
            </c:ext>
          </c:extLst>
        </c:ser>
        <c:dLbls>
          <c:showLegendKey val="0"/>
          <c:showVal val="0"/>
          <c:showCatName val="0"/>
          <c:showSerName val="0"/>
          <c:showPercent val="0"/>
          <c:showBubbleSize val="0"/>
        </c:dLbls>
        <c:gapWidth val="150"/>
        <c:overlap val="100"/>
        <c:axId val="647146639"/>
        <c:axId val="321208495"/>
      </c:barChart>
      <c:catAx>
        <c:axId val="647146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21208495"/>
        <c:crosses val="autoZero"/>
        <c:auto val="1"/>
        <c:lblAlgn val="ctr"/>
        <c:lblOffset val="100"/>
        <c:noMultiLvlLbl val="0"/>
      </c:catAx>
      <c:valAx>
        <c:axId val="32120849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47146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[case study_coordinator_assignments_v4.xlsx]Pivot Tab!PivotTable24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Tab'!$H$15</c:f>
              <c:strCache>
                <c:ptCount val="1"/>
                <c:pt idx="0">
                  <c:v>Total</c:v>
                </c:pt>
              </c:strCache>
            </c:strRef>
          </c:tx>
          <c:spPr>
            <a:solidFill>
              <a:schemeClr val="accent3"/>
            </a:solidFill>
            <a:ln>
              <a:noFill/>
            </a:ln>
            <a:effectLst/>
            <a:sp3d/>
          </c:spPr>
          <c:invertIfNegative val="0"/>
          <c:cat>
            <c:strRef>
              <c:f>'Pivot Tab'!$G$16:$G$23</c:f>
              <c:strCache>
                <c:ptCount val="7"/>
                <c:pt idx="0">
                  <c:v>Yuki Tanaka</c:v>
                </c:pt>
                <c:pt idx="1">
                  <c:v>Priya Kapoor</c:v>
                </c:pt>
                <c:pt idx="2">
                  <c:v>Hannah Whitlock</c:v>
                </c:pt>
                <c:pt idx="3">
                  <c:v>Andre Boseman</c:v>
                </c:pt>
                <c:pt idx="4">
                  <c:v>Damon Fields</c:v>
                </c:pt>
                <c:pt idx="5">
                  <c:v>Marisol Reyes</c:v>
                </c:pt>
                <c:pt idx="6">
                  <c:v>Trevor Nguyen</c:v>
                </c:pt>
              </c:strCache>
            </c:strRef>
          </c:cat>
          <c:val>
            <c:numRef>
              <c:f>'Pivot Tab'!$H$16:$H$23</c:f>
              <c:numCache>
                <c:formatCode>0%</c:formatCode>
                <c:ptCount val="7"/>
                <c:pt idx="0">
                  <c:v>0.18867924528301888</c:v>
                </c:pt>
                <c:pt idx="1">
                  <c:v>0.28301886792452829</c:v>
                </c:pt>
                <c:pt idx="2">
                  <c:v>0.28846153846153844</c:v>
                </c:pt>
                <c:pt idx="3">
                  <c:v>0.37735849056603776</c:v>
                </c:pt>
                <c:pt idx="4">
                  <c:v>0.37735849056603776</c:v>
                </c:pt>
                <c:pt idx="5">
                  <c:v>0.56603773584905659</c:v>
                </c:pt>
                <c:pt idx="6">
                  <c:v>0.56603773584905659</c:v>
                </c:pt>
              </c:numCache>
            </c:numRef>
          </c:val>
          <c:extLst>
            <c:ext xmlns:c16="http://schemas.microsoft.com/office/drawing/2014/chart" uri="{C3380CC4-5D6E-409C-BE32-E72D297353CC}">
              <c16:uniqueId val="{00000002-10E5-43A8-B1D2-80A1024A4993}"/>
            </c:ext>
          </c:extLst>
        </c:ser>
        <c:dLbls>
          <c:showLegendKey val="0"/>
          <c:showVal val="0"/>
          <c:showCatName val="0"/>
          <c:showSerName val="0"/>
          <c:showPercent val="0"/>
          <c:showBubbleSize val="0"/>
        </c:dLbls>
        <c:gapWidth val="150"/>
        <c:shape val="box"/>
        <c:axId val="63925983"/>
        <c:axId val="1803104304"/>
        <c:axId val="0"/>
      </c:bar3DChart>
      <c:catAx>
        <c:axId val="63925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104304"/>
        <c:crosses val="autoZero"/>
        <c:auto val="1"/>
        <c:lblAlgn val="ctr"/>
        <c:lblOffset val="100"/>
        <c:noMultiLvlLbl val="0"/>
      </c:catAx>
      <c:valAx>
        <c:axId val="18031043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5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[case study_coordinator_assignments_v4.xlsx]Pivot Tab!PivotTable24</c:name>
    <c:fmtId val="2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Completion</a:t>
            </a:r>
            <a:r>
              <a:rPr lang="en-US" sz="1600" b="1" baseline="0">
                <a:solidFill>
                  <a:srgbClr val="002060"/>
                </a:solidFill>
              </a:rPr>
              <a:t> by Coordinator</a:t>
            </a:r>
            <a:br>
              <a:rPr lang="en-US" baseline="0"/>
            </a:br>
            <a:r>
              <a:rPr lang="en-US" sz="1200" baseline="0">
                <a:solidFill>
                  <a:srgbClr val="002060"/>
                </a:solidFill>
              </a:rPr>
              <a:t>% of each coordinator's book fully onboarded. Marisol &amp; Trevor lead; Yuki, Priya &amp; Hannah trail</a:t>
            </a:r>
            <a:r>
              <a:rPr lang="en-US" baseline="0">
                <a:solidFill>
                  <a:srgbClr val="002060"/>
                </a:solidFill>
              </a:rPr>
              <a:t>. </a:t>
            </a:r>
            <a:endParaRPr lang="en-US">
              <a:solidFill>
                <a:srgbClr val="002060"/>
              </a:solidFill>
            </a:endParaRPr>
          </a:p>
        </c:rich>
      </c:tx>
      <c:layout>
        <c:manualLayout>
          <c:xMode val="edge"/>
          <c:yMode val="edge"/>
          <c:x val="2.8728866426193284E-2"/>
          <c:y val="1.958587908523919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alpha val="74000"/>
            </a:srgb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alpha val="74000"/>
            </a:schemeClr>
          </a:solidFill>
          <a:ln>
            <a:noFill/>
          </a:ln>
          <a:effectLst/>
          <a:sp3d/>
        </c:spPr>
      </c:pivotFmt>
      <c:pivotFmt>
        <c:idx val="5"/>
        <c:spPr>
          <a:solidFill>
            <a:schemeClr val="accent3">
              <a:alpha val="74000"/>
            </a:schemeClr>
          </a:solidFill>
          <a:ln>
            <a:noFill/>
          </a:ln>
          <a:effectLst/>
          <a:sp3d/>
        </c:spPr>
      </c:pivotFmt>
      <c:pivotFmt>
        <c:idx val="6"/>
        <c:spPr>
          <a:solidFill>
            <a:srgbClr val="FFFF00">
              <a:alpha val="73725"/>
            </a:srgbClr>
          </a:solidFill>
          <a:ln>
            <a:noFill/>
          </a:ln>
          <a:effectLst/>
          <a:sp3d/>
        </c:spPr>
      </c:pivotFmt>
      <c:pivotFmt>
        <c:idx val="7"/>
        <c:spPr>
          <a:solidFill>
            <a:schemeClr val="accent3">
              <a:alpha val="74000"/>
            </a:schemeClr>
          </a:solidFill>
          <a:ln>
            <a:noFill/>
          </a:ln>
          <a:effectLst/>
          <a:sp3d/>
        </c:spPr>
      </c:pivotFmt>
      <c:pivotFmt>
        <c:idx val="8"/>
        <c:spPr>
          <a:solidFill>
            <a:srgbClr val="FFFF00">
              <a:alpha val="74000"/>
            </a:srgbClr>
          </a:solidFill>
          <a:ln>
            <a:noFill/>
          </a:ln>
          <a:effectLst/>
          <a:sp3d/>
        </c:spPr>
      </c:pivotFmt>
      <c:pivotFmt>
        <c:idx val="9"/>
        <c:spPr>
          <a:solidFill>
            <a:schemeClr val="tx2">
              <a:lumMod val="60000"/>
              <a:lumOff val="40000"/>
              <a:alpha val="74000"/>
            </a:schemeClr>
          </a:solidFill>
          <a:ln>
            <a:noFill/>
          </a:ln>
          <a:effectLst/>
          <a:sp3d/>
        </c:spPr>
      </c:pivotFmt>
      <c:pivotFmt>
        <c:idx val="10"/>
        <c:spPr>
          <a:solidFill>
            <a:schemeClr val="tx2">
              <a:lumMod val="60000"/>
              <a:lumOff val="40000"/>
              <a:alpha val="74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9190713886877386"/>
          <c:y val="0.25019869220773522"/>
          <c:w val="0.76054257680599846"/>
          <c:h val="0.68416330733777897"/>
        </c:manualLayout>
      </c:layout>
      <c:bar3DChart>
        <c:barDir val="bar"/>
        <c:grouping val="clustered"/>
        <c:varyColors val="1"/>
        <c:ser>
          <c:idx val="0"/>
          <c:order val="0"/>
          <c:tx>
            <c:strRef>
              <c:f>'Pivot Tab'!$H$15</c:f>
              <c:strCache>
                <c:ptCount val="1"/>
                <c:pt idx="0">
                  <c:v>Total</c:v>
                </c:pt>
              </c:strCache>
            </c:strRef>
          </c:tx>
          <c:spPr>
            <a:solidFill>
              <a:srgbClr val="002060">
                <a:alpha val="74000"/>
              </a:srgbClr>
            </a:solidFill>
            <a:ln>
              <a:noFill/>
            </a:ln>
          </c:spPr>
          <c:invertIfNegative val="0"/>
          <c:dPt>
            <c:idx val="0"/>
            <c:invertIfNegative val="0"/>
            <c:bubble3D val="0"/>
            <c:spPr>
              <a:solidFill>
                <a:schemeClr val="accent2">
                  <a:lumMod val="75000"/>
                  <a:alpha val="74000"/>
                </a:schemeClr>
              </a:solidFill>
              <a:ln>
                <a:noFill/>
              </a:ln>
              <a:effectLst/>
              <a:sp3d/>
            </c:spPr>
            <c:extLst>
              <c:ext xmlns:c16="http://schemas.microsoft.com/office/drawing/2014/chart" uri="{C3380CC4-5D6E-409C-BE32-E72D297353CC}">
                <c16:uniqueId val="{00000007-B802-4274-A987-767CB541DF39}"/>
              </c:ext>
            </c:extLst>
          </c:dPt>
          <c:dPt>
            <c:idx val="1"/>
            <c:invertIfNegative val="0"/>
            <c:bubble3D val="0"/>
            <c:spPr>
              <a:solidFill>
                <a:srgbClr val="FFFF00">
                  <a:alpha val="73725"/>
                </a:srgbClr>
              </a:solidFill>
              <a:ln>
                <a:noFill/>
              </a:ln>
              <a:effectLst/>
              <a:sp3d/>
            </c:spPr>
            <c:extLst>
              <c:ext xmlns:c16="http://schemas.microsoft.com/office/drawing/2014/chart" uri="{C3380CC4-5D6E-409C-BE32-E72D297353CC}">
                <c16:uniqueId val="{00000006-B802-4274-A987-767CB541DF39}"/>
              </c:ext>
            </c:extLst>
          </c:dPt>
          <c:dPt>
            <c:idx val="2"/>
            <c:invertIfNegative val="0"/>
            <c:bubble3D val="0"/>
            <c:spPr>
              <a:solidFill>
                <a:srgbClr val="FFFF00">
                  <a:alpha val="74000"/>
                </a:srgbClr>
              </a:solidFill>
              <a:ln>
                <a:noFill/>
              </a:ln>
              <a:effectLst/>
              <a:sp3d/>
            </c:spPr>
            <c:extLst>
              <c:ext xmlns:c16="http://schemas.microsoft.com/office/drawing/2014/chart" uri="{C3380CC4-5D6E-409C-BE32-E72D297353CC}">
                <c16:uniqueId val="{00000005-B802-4274-A987-767CB541DF39}"/>
              </c:ext>
            </c:extLst>
          </c:dPt>
          <c:dPt>
            <c:idx val="3"/>
            <c:invertIfNegative val="0"/>
            <c:bubble3D val="0"/>
            <c:spPr>
              <a:solidFill>
                <a:schemeClr val="tx2">
                  <a:lumMod val="60000"/>
                  <a:lumOff val="40000"/>
                  <a:alpha val="74000"/>
                </a:schemeClr>
              </a:solidFill>
              <a:ln>
                <a:noFill/>
              </a:ln>
              <a:effectLst/>
              <a:sp3d/>
            </c:spPr>
            <c:extLst>
              <c:ext xmlns:c16="http://schemas.microsoft.com/office/drawing/2014/chart" uri="{C3380CC4-5D6E-409C-BE32-E72D297353CC}">
                <c16:uniqueId val="{00000004-B802-4274-A987-767CB541DF39}"/>
              </c:ext>
            </c:extLst>
          </c:dPt>
          <c:dPt>
            <c:idx val="4"/>
            <c:invertIfNegative val="0"/>
            <c:bubble3D val="0"/>
            <c:spPr>
              <a:solidFill>
                <a:schemeClr val="tx2">
                  <a:lumMod val="60000"/>
                  <a:lumOff val="40000"/>
                  <a:alpha val="74000"/>
                </a:schemeClr>
              </a:solidFill>
              <a:ln>
                <a:noFill/>
              </a:ln>
              <a:effectLst/>
              <a:sp3d/>
            </c:spPr>
            <c:extLst>
              <c:ext xmlns:c16="http://schemas.microsoft.com/office/drawing/2014/chart" uri="{C3380CC4-5D6E-409C-BE32-E72D297353CC}">
                <c16:uniqueId val="{00000003-B802-4274-A987-767CB541DF39}"/>
              </c:ext>
            </c:extLst>
          </c:dPt>
          <c:dPt>
            <c:idx val="5"/>
            <c:invertIfNegative val="0"/>
            <c:bubble3D val="0"/>
            <c:spPr>
              <a:solidFill>
                <a:schemeClr val="accent3">
                  <a:alpha val="74000"/>
                </a:schemeClr>
              </a:solidFill>
              <a:ln>
                <a:noFill/>
              </a:ln>
              <a:effectLst/>
              <a:sp3d/>
            </c:spPr>
            <c:extLst>
              <c:ext xmlns:c16="http://schemas.microsoft.com/office/drawing/2014/chart" uri="{C3380CC4-5D6E-409C-BE32-E72D297353CC}">
                <c16:uniqueId val="{00000002-B802-4274-A987-767CB541DF39}"/>
              </c:ext>
            </c:extLst>
          </c:dPt>
          <c:dPt>
            <c:idx val="6"/>
            <c:invertIfNegative val="0"/>
            <c:bubble3D val="0"/>
            <c:spPr>
              <a:solidFill>
                <a:schemeClr val="accent3">
                  <a:alpha val="74000"/>
                </a:schemeClr>
              </a:solidFill>
              <a:ln>
                <a:noFill/>
              </a:ln>
              <a:effectLst/>
              <a:sp3d/>
            </c:spPr>
            <c:extLst>
              <c:ext xmlns:c16="http://schemas.microsoft.com/office/drawing/2014/chart" uri="{C3380CC4-5D6E-409C-BE32-E72D297353CC}">
                <c16:uniqueId val="{00000001-B802-4274-A987-767CB541DF39}"/>
              </c:ext>
            </c:extLst>
          </c:dPt>
          <c:cat>
            <c:strRef>
              <c:f>'Pivot Tab'!$G$16:$G$23</c:f>
              <c:strCache>
                <c:ptCount val="7"/>
                <c:pt idx="0">
                  <c:v>Yuki Tanaka</c:v>
                </c:pt>
                <c:pt idx="1">
                  <c:v>Priya Kapoor</c:v>
                </c:pt>
                <c:pt idx="2">
                  <c:v>Hannah Whitlock</c:v>
                </c:pt>
                <c:pt idx="3">
                  <c:v>Andre Boseman</c:v>
                </c:pt>
                <c:pt idx="4">
                  <c:v>Damon Fields</c:v>
                </c:pt>
                <c:pt idx="5">
                  <c:v>Marisol Reyes</c:v>
                </c:pt>
                <c:pt idx="6">
                  <c:v>Trevor Nguyen</c:v>
                </c:pt>
              </c:strCache>
            </c:strRef>
          </c:cat>
          <c:val>
            <c:numRef>
              <c:f>'Pivot Tab'!$H$16:$H$23</c:f>
              <c:numCache>
                <c:formatCode>0%</c:formatCode>
                <c:ptCount val="7"/>
                <c:pt idx="0">
                  <c:v>0.18867924528301888</c:v>
                </c:pt>
                <c:pt idx="1">
                  <c:v>0.28301886792452829</c:v>
                </c:pt>
                <c:pt idx="2">
                  <c:v>0.28846153846153844</c:v>
                </c:pt>
                <c:pt idx="3">
                  <c:v>0.37735849056603776</c:v>
                </c:pt>
                <c:pt idx="4">
                  <c:v>0.37735849056603776</c:v>
                </c:pt>
                <c:pt idx="5">
                  <c:v>0.56603773584905659</c:v>
                </c:pt>
                <c:pt idx="6">
                  <c:v>0.56603773584905659</c:v>
                </c:pt>
              </c:numCache>
            </c:numRef>
          </c:val>
          <c:extLst>
            <c:ext xmlns:c16="http://schemas.microsoft.com/office/drawing/2014/chart" uri="{C3380CC4-5D6E-409C-BE32-E72D297353CC}">
              <c16:uniqueId val="{00000000-B802-4274-A987-767CB541DF39}"/>
            </c:ext>
          </c:extLst>
        </c:ser>
        <c:dLbls>
          <c:showLegendKey val="0"/>
          <c:showVal val="0"/>
          <c:showCatName val="0"/>
          <c:showSerName val="0"/>
          <c:showPercent val="0"/>
          <c:showBubbleSize val="0"/>
        </c:dLbls>
        <c:gapWidth val="150"/>
        <c:shape val="box"/>
        <c:axId val="63925983"/>
        <c:axId val="1803104304"/>
        <c:axId val="0"/>
      </c:bar3DChart>
      <c:catAx>
        <c:axId val="63925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803104304"/>
        <c:crosses val="autoZero"/>
        <c:auto val="1"/>
        <c:lblAlgn val="ctr"/>
        <c:lblOffset val="100"/>
        <c:noMultiLvlLbl val="0"/>
      </c:catAx>
      <c:valAx>
        <c:axId val="1803104304"/>
        <c:scaling>
          <c:orientation val="minMax"/>
        </c:scaling>
        <c:delete val="1"/>
        <c:axPos val="b"/>
        <c:numFmt formatCode="0.00%" sourceLinked="0"/>
        <c:majorTickMark val="none"/>
        <c:minorTickMark val="none"/>
        <c:tickLblPos val="nextTo"/>
        <c:crossAx val="6392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r>
              <a:rPr lang="en-US" sz="900">
                <a:solidFill>
                  <a:srgbClr val="002060"/>
                </a:solidFill>
              </a:rPr>
              <a:t>OVERALL STATUS MIX</a:t>
            </a:r>
            <a:br>
              <a:rPr lang="en-US" sz="900"/>
            </a:br>
            <a:r>
              <a:rPr lang="en-US" sz="700">
                <a:solidFill>
                  <a:srgbClr val="002060"/>
                </a:solidFill>
              </a:rPr>
              <a:t>All 370 suppliers by onboarding stage.</a:t>
            </a:r>
          </a:p>
        </c:rich>
      </c:tx>
      <c:layout>
        <c:manualLayout>
          <c:xMode val="edge"/>
          <c:yMode val="edge"/>
          <c:x val="2.2338721741051743E-2"/>
          <c:y val="5.1121250030662056E-2"/>
        </c:manualLayout>
      </c:layout>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072635772641125"/>
          <c:y val="0.23561851497534772"/>
          <c:w val="0.33546207231600889"/>
          <c:h val="0.59959967620869825"/>
        </c:manualLayout>
      </c:layout>
      <c:doughnutChart>
        <c:varyColors val="1"/>
        <c:ser>
          <c:idx val="0"/>
          <c:order val="0"/>
          <c:tx>
            <c:strRef>
              <c:f>'Dash Support Sheet'!$B$51</c:f>
              <c:strCache>
                <c:ptCount val="1"/>
                <c:pt idx="0">
                  <c:v>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CCB-4158-8CE3-093B6216FE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CCB-4158-8CE3-093B6216FEE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CCB-4158-8CE3-093B6216FEE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CCB-4158-8CE3-093B6216FEE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CCB-4158-8CE3-093B6216FEE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 Support Sheet'!$A$52:$A$56</c:f>
              <c:strCache>
                <c:ptCount val="5"/>
                <c:pt idx="0">
                  <c:v>Completion</c:v>
                </c:pt>
                <c:pt idx="1">
                  <c:v>Received</c:v>
                </c:pt>
                <c:pt idx="2">
                  <c:v>Delayed</c:v>
                </c:pt>
                <c:pt idx="3">
                  <c:v>Delayed  - EOD</c:v>
                </c:pt>
                <c:pt idx="4">
                  <c:v>Poor Commuication</c:v>
                </c:pt>
              </c:strCache>
            </c:strRef>
          </c:cat>
          <c:val>
            <c:numRef>
              <c:f>'Dash Support Sheet'!$B$52:$B$56</c:f>
              <c:numCache>
                <c:formatCode>General</c:formatCode>
                <c:ptCount val="5"/>
                <c:pt idx="0">
                  <c:v>140</c:v>
                </c:pt>
                <c:pt idx="1">
                  <c:v>133</c:v>
                </c:pt>
                <c:pt idx="2">
                  <c:v>62</c:v>
                </c:pt>
                <c:pt idx="3">
                  <c:v>12</c:v>
                </c:pt>
                <c:pt idx="4">
                  <c:v>23</c:v>
                </c:pt>
              </c:numCache>
            </c:numRef>
          </c:val>
          <c:extLst>
            <c:ext xmlns:c16="http://schemas.microsoft.com/office/drawing/2014/chart" uri="{C3380CC4-5D6E-409C-BE32-E72D297353CC}">
              <c16:uniqueId val="{00000000-49DB-41F3-B8E9-75AAECA77B6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46555513316855668"/>
          <c:y val="0.28193391713886229"/>
          <c:w val="0.32399564320205504"/>
          <c:h val="0.429452994512049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129</a:t>
            </a:r>
            <a:r>
              <a:rPr lang="en-US" sz="1100" baseline="0"/>
              <a:t> critical suppliers by status</a:t>
            </a:r>
            <a:endParaRPr lang="en-US" sz="1100"/>
          </a:p>
        </c:rich>
      </c:tx>
      <c:layout>
        <c:manualLayout>
          <c:xMode val="edge"/>
          <c:yMode val="edge"/>
          <c:x val="5.4803976219369076E-2"/>
          <c:y val="9.829264894819125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'Dash Support Sheet'!$B$90</c:f>
              <c:strCache>
                <c:ptCount val="1"/>
                <c:pt idx="0">
                  <c:v>Complete</c:v>
                </c:pt>
              </c:strCache>
            </c:strRef>
          </c:tx>
          <c:spPr>
            <a:solidFill>
              <a:schemeClr val="accent1"/>
            </a:solidFill>
            <a:ln>
              <a:noFill/>
            </a:ln>
            <a:effectLst/>
          </c:spPr>
          <c:invertIfNegative val="0"/>
          <c:cat>
            <c:strRef>
              <c:f>'Dash Support Sheet'!$A$91</c:f>
              <c:strCache>
                <c:ptCount val="1"/>
                <c:pt idx="0">
                  <c:v>Critical</c:v>
                </c:pt>
              </c:strCache>
            </c:strRef>
          </c:cat>
          <c:val>
            <c:numRef>
              <c:f>'Dash Support Sheet'!$B$91</c:f>
              <c:numCache>
                <c:formatCode>General</c:formatCode>
                <c:ptCount val="1"/>
                <c:pt idx="0">
                  <c:v>64</c:v>
                </c:pt>
              </c:numCache>
            </c:numRef>
          </c:val>
          <c:extLst>
            <c:ext xmlns:c16="http://schemas.microsoft.com/office/drawing/2014/chart" uri="{C3380CC4-5D6E-409C-BE32-E72D297353CC}">
              <c16:uniqueId val="{00000000-8263-4AC8-8360-A53260FE9C67}"/>
            </c:ext>
          </c:extLst>
        </c:ser>
        <c:ser>
          <c:idx val="1"/>
          <c:order val="1"/>
          <c:tx>
            <c:strRef>
              <c:f>'Dash Support Sheet'!$C$90</c:f>
              <c:strCache>
                <c:ptCount val="1"/>
                <c:pt idx="0">
                  <c:v>Received</c:v>
                </c:pt>
              </c:strCache>
            </c:strRef>
          </c:tx>
          <c:spPr>
            <a:solidFill>
              <a:schemeClr val="accent6">
                <a:lumMod val="75000"/>
              </a:schemeClr>
            </a:solidFill>
            <a:ln>
              <a:noFill/>
            </a:ln>
            <a:effectLst/>
          </c:spPr>
          <c:invertIfNegative val="0"/>
          <c:cat>
            <c:strRef>
              <c:f>'Dash Support Sheet'!$A$91</c:f>
              <c:strCache>
                <c:ptCount val="1"/>
                <c:pt idx="0">
                  <c:v>Critical</c:v>
                </c:pt>
              </c:strCache>
            </c:strRef>
          </c:cat>
          <c:val>
            <c:numRef>
              <c:f>'Dash Support Sheet'!$C$91</c:f>
              <c:numCache>
                <c:formatCode>General</c:formatCode>
                <c:ptCount val="1"/>
                <c:pt idx="0">
                  <c:v>33</c:v>
                </c:pt>
              </c:numCache>
            </c:numRef>
          </c:val>
          <c:extLst>
            <c:ext xmlns:c16="http://schemas.microsoft.com/office/drawing/2014/chart" uri="{C3380CC4-5D6E-409C-BE32-E72D297353CC}">
              <c16:uniqueId val="{00000001-8263-4AC8-8360-A53260FE9C67}"/>
            </c:ext>
          </c:extLst>
        </c:ser>
        <c:ser>
          <c:idx val="2"/>
          <c:order val="2"/>
          <c:tx>
            <c:strRef>
              <c:f>'Dash Support Sheet'!$D$90</c:f>
              <c:strCache>
                <c:ptCount val="1"/>
                <c:pt idx="0">
                  <c:v>Delayed</c:v>
                </c:pt>
              </c:strCache>
            </c:strRef>
          </c:tx>
          <c:spPr>
            <a:solidFill>
              <a:srgbClr val="FFC000"/>
            </a:solidFill>
            <a:ln>
              <a:noFill/>
            </a:ln>
            <a:effectLst/>
          </c:spPr>
          <c:invertIfNegative val="0"/>
          <c:cat>
            <c:strRef>
              <c:f>'Dash Support Sheet'!$A$91</c:f>
              <c:strCache>
                <c:ptCount val="1"/>
                <c:pt idx="0">
                  <c:v>Critical</c:v>
                </c:pt>
              </c:strCache>
            </c:strRef>
          </c:cat>
          <c:val>
            <c:numRef>
              <c:f>'Dash Support Sheet'!$D$91</c:f>
              <c:numCache>
                <c:formatCode>General</c:formatCode>
                <c:ptCount val="1"/>
                <c:pt idx="0">
                  <c:v>26</c:v>
                </c:pt>
              </c:numCache>
            </c:numRef>
          </c:val>
          <c:extLst>
            <c:ext xmlns:c16="http://schemas.microsoft.com/office/drawing/2014/chart" uri="{C3380CC4-5D6E-409C-BE32-E72D297353CC}">
              <c16:uniqueId val="{00000002-8263-4AC8-8360-A53260FE9C67}"/>
            </c:ext>
          </c:extLst>
        </c:ser>
        <c:ser>
          <c:idx val="3"/>
          <c:order val="3"/>
          <c:tx>
            <c:strRef>
              <c:f>'Dash Support Sheet'!$E$90</c:f>
              <c:strCache>
                <c:ptCount val="1"/>
                <c:pt idx="0">
                  <c:v>EOD</c:v>
                </c:pt>
              </c:strCache>
            </c:strRef>
          </c:tx>
          <c:spPr>
            <a:solidFill>
              <a:schemeClr val="accent4"/>
            </a:solidFill>
            <a:ln>
              <a:noFill/>
            </a:ln>
            <a:effectLst/>
          </c:spPr>
          <c:invertIfNegative val="0"/>
          <c:cat>
            <c:strRef>
              <c:f>'Dash Support Sheet'!$A$91</c:f>
              <c:strCache>
                <c:ptCount val="1"/>
                <c:pt idx="0">
                  <c:v>Critical</c:v>
                </c:pt>
              </c:strCache>
            </c:strRef>
          </c:cat>
          <c:val>
            <c:numRef>
              <c:f>'Dash Support Sheet'!$E$91</c:f>
              <c:numCache>
                <c:formatCode>General</c:formatCode>
                <c:ptCount val="1"/>
                <c:pt idx="0">
                  <c:v>2</c:v>
                </c:pt>
              </c:numCache>
            </c:numRef>
          </c:val>
          <c:extLst>
            <c:ext xmlns:c16="http://schemas.microsoft.com/office/drawing/2014/chart" uri="{C3380CC4-5D6E-409C-BE32-E72D297353CC}">
              <c16:uniqueId val="{00000003-8263-4AC8-8360-A53260FE9C67}"/>
            </c:ext>
          </c:extLst>
        </c:ser>
        <c:ser>
          <c:idx val="4"/>
          <c:order val="4"/>
          <c:tx>
            <c:strRef>
              <c:f>'Dash Support Sheet'!$F$90</c:f>
              <c:strCache>
                <c:ptCount val="1"/>
                <c:pt idx="0">
                  <c:v>Poor Comms</c:v>
                </c:pt>
              </c:strCache>
            </c:strRef>
          </c:tx>
          <c:spPr>
            <a:solidFill>
              <a:schemeClr val="accent5"/>
            </a:solidFill>
            <a:ln>
              <a:noFill/>
            </a:ln>
            <a:effectLst/>
          </c:spPr>
          <c:invertIfNegative val="0"/>
          <c:cat>
            <c:strRef>
              <c:f>'Dash Support Sheet'!$A$91</c:f>
              <c:strCache>
                <c:ptCount val="1"/>
                <c:pt idx="0">
                  <c:v>Critical</c:v>
                </c:pt>
              </c:strCache>
            </c:strRef>
          </c:cat>
          <c:val>
            <c:numRef>
              <c:f>'Dash Support Sheet'!$F$91</c:f>
              <c:numCache>
                <c:formatCode>General</c:formatCode>
                <c:ptCount val="1"/>
                <c:pt idx="0">
                  <c:v>4</c:v>
                </c:pt>
              </c:numCache>
            </c:numRef>
          </c:val>
          <c:extLst>
            <c:ext xmlns:c16="http://schemas.microsoft.com/office/drawing/2014/chart" uri="{C3380CC4-5D6E-409C-BE32-E72D297353CC}">
              <c16:uniqueId val="{00000004-8263-4AC8-8360-A53260FE9C67}"/>
            </c:ext>
          </c:extLst>
        </c:ser>
        <c:dLbls>
          <c:showLegendKey val="0"/>
          <c:showVal val="0"/>
          <c:showCatName val="0"/>
          <c:showSerName val="0"/>
          <c:showPercent val="0"/>
          <c:showBubbleSize val="0"/>
        </c:dLbls>
        <c:gapWidth val="150"/>
        <c:overlap val="100"/>
        <c:axId val="647146639"/>
        <c:axId val="321208495"/>
      </c:barChart>
      <c:catAx>
        <c:axId val="647146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208495"/>
        <c:crosses val="autoZero"/>
        <c:auto val="1"/>
        <c:lblAlgn val="ctr"/>
        <c:lblOffset val="100"/>
        <c:noMultiLvlLbl val="0"/>
      </c:catAx>
      <c:valAx>
        <c:axId val="32120849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146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243417</xdr:colOff>
      <xdr:row>6</xdr:row>
      <xdr:rowOff>47625</xdr:rowOff>
    </xdr:to>
    <xdr:sp macro="" textlink="">
      <xdr:nvSpPr>
        <xdr:cNvPr id="3" name="Rectangle 2">
          <a:extLst>
            <a:ext uri="{FF2B5EF4-FFF2-40B4-BE49-F238E27FC236}">
              <a16:creationId xmlns:a16="http://schemas.microsoft.com/office/drawing/2014/main" id="{6A8E91B8-FA47-BB23-CFC8-8036C5554C9B}"/>
            </a:ext>
          </a:extLst>
        </xdr:cNvPr>
        <xdr:cNvSpPr/>
      </xdr:nvSpPr>
      <xdr:spPr>
        <a:xfrm>
          <a:off x="0" y="0"/>
          <a:ext cx="21727584" cy="1190625"/>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a:outerShdw blurRad="40000" dist="23000" dir="5400000" rotWithShape="0">
            <a:srgbClr val="000000">
              <a:alpha val="35000"/>
            </a:srgbClr>
          </a:outerShdw>
          <a:softEdge rad="31750"/>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ctr">
          <a:scene3d>
            <a:camera prst="orthographicFront"/>
            <a:lightRig rig="threePt" dir="t"/>
          </a:scene3d>
          <a:sp3d prstMaterial="translucentPowder">
            <a:bevelT h="0"/>
          </a:sp3d>
        </a:bodyPr>
        <a:lstStyle/>
        <a:p>
          <a:pPr algn="l"/>
          <a:r>
            <a:rPr lang="en-US" sz="2400" b="1">
              <a:solidFill>
                <a:srgbClr val="002060"/>
              </a:solidFill>
              <a:effectLst>
                <a:outerShdw blurRad="50800" dist="38100" algn="l" rotWithShape="0">
                  <a:prstClr val="black">
                    <a:alpha val="40000"/>
                  </a:prstClr>
                </a:outerShdw>
              </a:effectLst>
            </a:rPr>
            <a:t>Crypto.com Arena</a:t>
          </a:r>
          <a:r>
            <a:rPr lang="en-US" sz="2400" b="1" baseline="0">
              <a:solidFill>
                <a:srgbClr val="002060"/>
              </a:solidFill>
              <a:effectLst>
                <a:outerShdw blurRad="50800" dist="38100" algn="l" rotWithShape="0">
                  <a:prstClr val="black">
                    <a:alpha val="40000"/>
                  </a:prstClr>
                </a:outerShdw>
              </a:effectLst>
            </a:rPr>
            <a:t> - Vendor Onboarding Dashboard</a:t>
          </a:r>
          <a:br>
            <a:rPr lang="en-US" sz="1100" baseline="0">
              <a:effectLst>
                <a:outerShdw blurRad="50800" dist="38100" algn="l" rotWithShape="0">
                  <a:prstClr val="black">
                    <a:alpha val="40000"/>
                  </a:prstClr>
                </a:outerShdw>
              </a:effectLst>
            </a:rPr>
          </a:br>
          <a:r>
            <a:rPr lang="en-US" sz="1600" baseline="0">
              <a:effectLst>
                <a:outerShdw blurRad="50800" dist="38100" algn="l" rotWithShape="0">
                  <a:prstClr val="black">
                    <a:alpha val="40000"/>
                  </a:prstClr>
                </a:outerShdw>
              </a:effectLst>
            </a:rPr>
            <a:t>Coordinator onboarding status across 370 suppliers, 7 Coordinators, Onboarding snapshot </a:t>
          </a:r>
          <a:endParaRPr lang="en-US" sz="1600">
            <a:effectLst>
              <a:outerShdw blurRad="50800" dist="38100" algn="l" rotWithShape="0">
                <a:prstClr val="black">
                  <a:alpha val="40000"/>
                </a:prstClr>
              </a:outerShdw>
            </a:effectLst>
          </a:endParaRPr>
        </a:p>
      </xdr:txBody>
    </xdr:sp>
    <xdr:clientData/>
  </xdr:twoCellAnchor>
  <xdr:twoCellAnchor>
    <xdr:from>
      <xdr:col>3</xdr:col>
      <xdr:colOff>272520</xdr:colOff>
      <xdr:row>7</xdr:row>
      <xdr:rowOff>179916</xdr:rowOff>
    </xdr:from>
    <xdr:to>
      <xdr:col>8</xdr:col>
      <xdr:colOff>336019</xdr:colOff>
      <xdr:row>15</xdr:row>
      <xdr:rowOff>158750</xdr:rowOff>
    </xdr:to>
    <xdr:sp macro="" textlink="">
      <xdr:nvSpPr>
        <xdr:cNvPr id="10" name="Rectangle: Rounded Corners 9">
          <a:extLst>
            <a:ext uri="{FF2B5EF4-FFF2-40B4-BE49-F238E27FC236}">
              <a16:creationId xmlns:a16="http://schemas.microsoft.com/office/drawing/2014/main" id="{1EAE2F59-16A2-D664-B737-DB55E422D4B6}"/>
            </a:ext>
          </a:extLst>
        </xdr:cNvPr>
        <xdr:cNvSpPr/>
      </xdr:nvSpPr>
      <xdr:spPr>
        <a:xfrm>
          <a:off x="2094176" y="1513416"/>
          <a:ext cx="3099593" cy="1502834"/>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508001</xdr:colOff>
      <xdr:row>7</xdr:row>
      <xdr:rowOff>168010</xdr:rowOff>
    </xdr:from>
    <xdr:to>
      <xdr:col>16</xdr:col>
      <xdr:colOff>6614</xdr:colOff>
      <xdr:row>15</xdr:row>
      <xdr:rowOff>136260</xdr:rowOff>
    </xdr:to>
    <xdr:sp macro="" textlink="">
      <xdr:nvSpPr>
        <xdr:cNvPr id="14" name="Rectangle: Rounded Corners 13">
          <a:extLst>
            <a:ext uri="{FF2B5EF4-FFF2-40B4-BE49-F238E27FC236}">
              <a16:creationId xmlns:a16="http://schemas.microsoft.com/office/drawing/2014/main" id="{C7B99264-C117-4124-BE4E-37E5C414647B}"/>
            </a:ext>
          </a:extLst>
        </xdr:cNvPr>
        <xdr:cNvSpPr/>
      </xdr:nvSpPr>
      <xdr:spPr>
        <a:xfrm>
          <a:off x="6580189" y="1501510"/>
          <a:ext cx="3141925" cy="1492250"/>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524935</xdr:colOff>
      <xdr:row>7</xdr:row>
      <xdr:rowOff>173832</xdr:rowOff>
    </xdr:from>
    <xdr:to>
      <xdr:col>30</xdr:col>
      <xdr:colOff>107156</xdr:colOff>
      <xdr:row>15</xdr:row>
      <xdr:rowOff>107156</xdr:rowOff>
    </xdr:to>
    <xdr:sp macro="" textlink="">
      <xdr:nvSpPr>
        <xdr:cNvPr id="15" name="Rectangle: Rounded Corners 14">
          <a:extLst>
            <a:ext uri="{FF2B5EF4-FFF2-40B4-BE49-F238E27FC236}">
              <a16:creationId xmlns:a16="http://schemas.microsoft.com/office/drawing/2014/main" id="{07199A4C-C28E-4406-BFCB-33427A9C129E}"/>
            </a:ext>
          </a:extLst>
        </xdr:cNvPr>
        <xdr:cNvSpPr/>
      </xdr:nvSpPr>
      <xdr:spPr>
        <a:xfrm>
          <a:off x="15098185" y="1507332"/>
          <a:ext cx="3225534" cy="1457324"/>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97893</xdr:colOff>
      <xdr:row>7</xdr:row>
      <xdr:rowOff>165364</xdr:rowOff>
    </xdr:from>
    <xdr:to>
      <xdr:col>23</xdr:col>
      <xdr:colOff>256645</xdr:colOff>
      <xdr:row>15</xdr:row>
      <xdr:rowOff>123032</xdr:rowOff>
    </xdr:to>
    <xdr:sp macro="" textlink="">
      <xdr:nvSpPr>
        <xdr:cNvPr id="17" name="Rectangle: Rounded Corners 16">
          <a:extLst>
            <a:ext uri="{FF2B5EF4-FFF2-40B4-BE49-F238E27FC236}">
              <a16:creationId xmlns:a16="http://schemas.microsoft.com/office/drawing/2014/main" id="{63EA999D-37EC-4422-815E-A79433BEFF9A}"/>
            </a:ext>
          </a:extLst>
        </xdr:cNvPr>
        <xdr:cNvSpPr/>
      </xdr:nvSpPr>
      <xdr:spPr>
        <a:xfrm>
          <a:off x="11027831" y="1498864"/>
          <a:ext cx="3194845" cy="1481668"/>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15876</xdr:colOff>
      <xdr:row>20</xdr:row>
      <xdr:rowOff>177268</xdr:rowOff>
    </xdr:from>
    <xdr:to>
      <xdr:col>17</xdr:col>
      <xdr:colOff>185209</xdr:colOff>
      <xdr:row>46</xdr:row>
      <xdr:rowOff>60853</xdr:rowOff>
    </xdr:to>
    <xdr:sp macro="" textlink="">
      <xdr:nvSpPr>
        <xdr:cNvPr id="18" name="Rectangle: Rounded Corners 17">
          <a:extLst>
            <a:ext uri="{FF2B5EF4-FFF2-40B4-BE49-F238E27FC236}">
              <a16:creationId xmlns:a16="http://schemas.microsoft.com/office/drawing/2014/main" id="{50C447F8-2657-510D-98DF-EF91C87322B5}"/>
            </a:ext>
          </a:extLst>
        </xdr:cNvPr>
        <xdr:cNvSpPr/>
      </xdr:nvSpPr>
      <xdr:spPr>
        <a:xfrm>
          <a:off x="1230314" y="3987268"/>
          <a:ext cx="9277614" cy="4836585"/>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36</xdr:row>
      <xdr:rowOff>152400</xdr:rowOff>
    </xdr:from>
    <xdr:to>
      <xdr:col>0</xdr:col>
      <xdr:colOff>0</xdr:colOff>
      <xdr:row>41</xdr:row>
      <xdr:rowOff>152400</xdr:rowOff>
    </xdr:to>
    <xdr:sp macro="" textlink="">
      <xdr:nvSpPr>
        <xdr:cNvPr id="19" name="Rectangle: Rounded Corners 18">
          <a:extLst>
            <a:ext uri="{FF2B5EF4-FFF2-40B4-BE49-F238E27FC236}">
              <a16:creationId xmlns:a16="http://schemas.microsoft.com/office/drawing/2014/main" id="{7BCDC3D5-8E0F-B85E-E43A-FCCE88EE09F7}"/>
            </a:ext>
          </a:extLst>
        </xdr:cNvPr>
        <xdr:cNvSpPr/>
      </xdr:nvSpPr>
      <xdr:spPr>
        <a:xfrm>
          <a:off x="0" y="6629400"/>
          <a:ext cx="0" cy="952500"/>
        </a:xfrm>
        <a:prstGeom prst="roundRect">
          <a:avLst/>
        </a:prstGeom>
        <a:gradFill>
          <a:gsLst>
            <a:gs pos="0">
              <a:schemeClr val="accent3">
                <a:lumMod val="67000"/>
              </a:schemeClr>
            </a:gs>
            <a:gs pos="48000">
              <a:schemeClr val="accent3">
                <a:lumMod val="97000"/>
                <a:lumOff val="3000"/>
              </a:schemeClr>
            </a:gs>
            <a:gs pos="100000">
              <a:schemeClr val="accent3">
                <a:lumMod val="60000"/>
                <a:lumOff val="40000"/>
              </a:schemeClr>
            </a:gs>
          </a:gsLst>
          <a:lin ang="16200000" scaled="1"/>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286809</xdr:colOff>
      <xdr:row>21</xdr:row>
      <xdr:rowOff>14021</xdr:rowOff>
    </xdr:from>
    <xdr:to>
      <xdr:col>30</xdr:col>
      <xdr:colOff>226217</xdr:colOff>
      <xdr:row>46</xdr:row>
      <xdr:rowOff>154780</xdr:rowOff>
    </xdr:to>
    <xdr:sp macro="" textlink="">
      <xdr:nvSpPr>
        <xdr:cNvPr id="20" name="Rectangle: Rounded Corners 19">
          <a:extLst>
            <a:ext uri="{FF2B5EF4-FFF2-40B4-BE49-F238E27FC236}">
              <a16:creationId xmlns:a16="http://schemas.microsoft.com/office/drawing/2014/main" id="{107C7578-5BB8-EDDF-ACDA-838961445A0A}"/>
            </a:ext>
          </a:extLst>
        </xdr:cNvPr>
        <xdr:cNvSpPr/>
      </xdr:nvSpPr>
      <xdr:spPr>
        <a:xfrm>
          <a:off x="11216747" y="4014521"/>
          <a:ext cx="7226033" cy="4903259"/>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562240</xdr:colOff>
      <xdr:row>72</xdr:row>
      <xdr:rowOff>85989</xdr:rowOff>
    </xdr:from>
    <xdr:to>
      <xdr:col>17</xdr:col>
      <xdr:colOff>547687</xdr:colOff>
      <xdr:row>98</xdr:row>
      <xdr:rowOff>71437</xdr:rowOff>
    </xdr:to>
    <xdr:sp macro="" textlink="">
      <xdr:nvSpPr>
        <xdr:cNvPr id="21" name="Rectangle: Rounded Corners 20">
          <a:extLst>
            <a:ext uri="{FF2B5EF4-FFF2-40B4-BE49-F238E27FC236}">
              <a16:creationId xmlns:a16="http://schemas.microsoft.com/office/drawing/2014/main" id="{1918BB2C-6490-4DFF-8DF4-BD588CDAF995}"/>
            </a:ext>
          </a:extLst>
        </xdr:cNvPr>
        <xdr:cNvSpPr/>
      </xdr:nvSpPr>
      <xdr:spPr>
        <a:xfrm>
          <a:off x="562240" y="10753989"/>
          <a:ext cx="10308166" cy="4938448"/>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202407</xdr:colOff>
      <xdr:row>72</xdr:row>
      <xdr:rowOff>71437</xdr:rowOff>
    </xdr:from>
    <xdr:to>
      <xdr:col>33</xdr:col>
      <xdr:colOff>416718</xdr:colOff>
      <xdr:row>94</xdr:row>
      <xdr:rowOff>1</xdr:rowOff>
    </xdr:to>
    <xdr:sp macro="" textlink="">
      <xdr:nvSpPr>
        <xdr:cNvPr id="24" name="Rectangle: Rounded Corners 23">
          <a:extLst>
            <a:ext uri="{FF2B5EF4-FFF2-40B4-BE49-F238E27FC236}">
              <a16:creationId xmlns:a16="http://schemas.microsoft.com/office/drawing/2014/main" id="{B971389B-3500-18F6-4521-4E0F50AAC7B7}"/>
            </a:ext>
          </a:extLst>
        </xdr:cNvPr>
        <xdr:cNvSpPr/>
      </xdr:nvSpPr>
      <xdr:spPr>
        <a:xfrm>
          <a:off x="11739563" y="10739437"/>
          <a:ext cx="8715374" cy="4119564"/>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41952</xdr:colOff>
      <xdr:row>52</xdr:row>
      <xdr:rowOff>1</xdr:rowOff>
    </xdr:from>
    <xdr:to>
      <xdr:col>30</xdr:col>
      <xdr:colOff>482485</xdr:colOff>
      <xdr:row>68</xdr:row>
      <xdr:rowOff>83345</xdr:rowOff>
    </xdr:to>
    <xdr:sp macro="" textlink="">
      <xdr:nvSpPr>
        <xdr:cNvPr id="25" name="Rectangle: Rounded Corners 24">
          <a:extLst>
            <a:ext uri="{FF2B5EF4-FFF2-40B4-BE49-F238E27FC236}">
              <a16:creationId xmlns:a16="http://schemas.microsoft.com/office/drawing/2014/main" id="{73271C29-2F27-442F-84A6-FBC82B5C7CD8}"/>
            </a:ext>
          </a:extLst>
        </xdr:cNvPr>
        <xdr:cNvSpPr/>
      </xdr:nvSpPr>
      <xdr:spPr>
        <a:xfrm>
          <a:off x="1266595" y="10114644"/>
          <a:ext cx="17585533" cy="3167630"/>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89957</xdr:colOff>
      <xdr:row>7</xdr:row>
      <xdr:rowOff>171185</xdr:rowOff>
    </xdr:from>
    <xdr:to>
      <xdr:col>6</xdr:col>
      <xdr:colOff>580759</xdr:colOff>
      <xdr:row>11</xdr:row>
      <xdr:rowOff>25135</xdr:rowOff>
    </xdr:to>
    <xdr:sp macro="" textlink="'Pivot Tab'!E23">
      <xdr:nvSpPr>
        <xdr:cNvPr id="26" name="TextBox 25">
          <a:extLst>
            <a:ext uri="{FF2B5EF4-FFF2-40B4-BE49-F238E27FC236}">
              <a16:creationId xmlns:a16="http://schemas.microsoft.com/office/drawing/2014/main" id="{5399256F-0FC3-5AD5-44C3-7C30C16C630E}"/>
            </a:ext>
          </a:extLst>
        </xdr:cNvPr>
        <xdr:cNvSpPr txBox="1"/>
      </xdr:nvSpPr>
      <xdr:spPr>
        <a:xfrm>
          <a:off x="3126051" y="1504685"/>
          <a:ext cx="1098021" cy="615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4014F39-2FB7-4524-B563-5403A42C1D85}" type="TxLink">
            <a:rPr lang="en-US" sz="3600" b="1" i="0" u="none" strike="noStrike">
              <a:solidFill>
                <a:srgbClr val="002060">
                  <a:alpha val="91000"/>
                </a:srgbClr>
              </a:solidFill>
              <a:latin typeface="Calibri"/>
              <a:ea typeface="Calibri"/>
              <a:cs typeface="Calibri"/>
            </a:rPr>
            <a:pPr algn="l"/>
            <a:t>38%</a:t>
          </a:fld>
          <a:endParaRPr lang="en-US" sz="3600">
            <a:solidFill>
              <a:srgbClr val="002060">
                <a:alpha val="91000"/>
              </a:srgbClr>
            </a:solidFill>
          </a:endParaRPr>
        </a:p>
      </xdr:txBody>
    </xdr:sp>
    <xdr:clientData/>
  </xdr:twoCellAnchor>
  <xdr:twoCellAnchor>
    <xdr:from>
      <xdr:col>3</xdr:col>
      <xdr:colOff>510646</xdr:colOff>
      <xdr:row>11</xdr:row>
      <xdr:rowOff>106890</xdr:rowOff>
    </xdr:from>
    <xdr:to>
      <xdr:col>7</xdr:col>
      <xdr:colOff>457730</xdr:colOff>
      <xdr:row>14</xdr:row>
      <xdr:rowOff>121707</xdr:rowOff>
    </xdr:to>
    <xdr:sp macro="" textlink="">
      <xdr:nvSpPr>
        <xdr:cNvPr id="27" name="TextBox 26">
          <a:extLst>
            <a:ext uri="{FF2B5EF4-FFF2-40B4-BE49-F238E27FC236}">
              <a16:creationId xmlns:a16="http://schemas.microsoft.com/office/drawing/2014/main" id="{39F679A6-EFDF-A2BC-9520-E5AD4EF73933}"/>
            </a:ext>
          </a:extLst>
        </xdr:cNvPr>
        <xdr:cNvSpPr txBox="1"/>
      </xdr:nvSpPr>
      <xdr:spPr>
        <a:xfrm>
          <a:off x="2332302" y="2202390"/>
          <a:ext cx="2375959" cy="586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002060"/>
              </a:solidFill>
            </a:rPr>
            <a:t>Fully</a:t>
          </a:r>
          <a:r>
            <a:rPr lang="en-US" sz="1600" b="1" baseline="0">
              <a:solidFill>
                <a:srgbClr val="002060"/>
              </a:solidFill>
            </a:rPr>
            <a:t> Onboarded</a:t>
          </a:r>
          <a:br>
            <a:rPr lang="en-US" sz="1400" baseline="0"/>
          </a:br>
          <a:r>
            <a:rPr lang="en-US" sz="1400" b="1" baseline="0">
              <a:solidFill>
                <a:schemeClr val="bg1"/>
              </a:solidFill>
            </a:rPr>
            <a:t>140 of 370 suppliers</a:t>
          </a:r>
          <a:endParaRPr lang="en-US" sz="1400" b="1">
            <a:solidFill>
              <a:schemeClr val="bg1"/>
            </a:solidFill>
          </a:endParaRPr>
        </a:p>
      </xdr:txBody>
    </xdr:sp>
    <xdr:clientData/>
  </xdr:twoCellAnchor>
  <xdr:twoCellAnchor>
    <xdr:from>
      <xdr:col>10</xdr:col>
      <xdr:colOff>591608</xdr:colOff>
      <xdr:row>11</xdr:row>
      <xdr:rowOff>126734</xdr:rowOff>
    </xdr:from>
    <xdr:to>
      <xdr:col>15</xdr:col>
      <xdr:colOff>496358</xdr:colOff>
      <xdr:row>14</xdr:row>
      <xdr:rowOff>164834</xdr:rowOff>
    </xdr:to>
    <xdr:sp macro="" textlink="">
      <xdr:nvSpPr>
        <xdr:cNvPr id="31" name="TextBox 30">
          <a:extLst>
            <a:ext uri="{FF2B5EF4-FFF2-40B4-BE49-F238E27FC236}">
              <a16:creationId xmlns:a16="http://schemas.microsoft.com/office/drawing/2014/main" id="{C60B7093-68AD-E481-127C-073ACFFE3DCA}"/>
            </a:ext>
          </a:extLst>
        </xdr:cNvPr>
        <xdr:cNvSpPr txBox="1"/>
      </xdr:nvSpPr>
      <xdr:spPr>
        <a:xfrm>
          <a:off x="6663796" y="2222234"/>
          <a:ext cx="2940843"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On </a:t>
          </a:r>
          <a:r>
            <a:rPr lang="en-US" sz="1600" b="1">
              <a:solidFill>
                <a:srgbClr val="002060"/>
              </a:solidFill>
              <a:latin typeface="+mn-lt"/>
              <a:ea typeface="+mn-ea"/>
              <a:cs typeface="+mn-cs"/>
            </a:rPr>
            <a:t>Track</a:t>
          </a:r>
          <a:r>
            <a:rPr lang="en-US" sz="1600" b="1">
              <a:solidFill>
                <a:srgbClr val="002060"/>
              </a:solidFill>
            </a:rPr>
            <a:t> (done + in progress)</a:t>
          </a:r>
          <a:br>
            <a:rPr lang="en-US" sz="1100"/>
          </a:br>
          <a:r>
            <a:rPr lang="en-US" sz="1400" b="1">
              <a:solidFill>
                <a:schemeClr val="bg1"/>
              </a:solidFill>
            </a:rPr>
            <a:t>273 of 370 supplier</a:t>
          </a:r>
        </a:p>
        <a:p>
          <a:endParaRPr lang="en-US" sz="1100"/>
        </a:p>
      </xdr:txBody>
    </xdr:sp>
    <xdr:clientData/>
  </xdr:twoCellAnchor>
  <xdr:twoCellAnchor>
    <xdr:from>
      <xdr:col>12</xdr:col>
      <xdr:colOff>267228</xdr:colOff>
      <xdr:row>7</xdr:row>
      <xdr:rowOff>150813</xdr:rowOff>
    </xdr:from>
    <xdr:to>
      <xdr:col>14</xdr:col>
      <xdr:colOff>104509</xdr:colOff>
      <xdr:row>10</xdr:row>
      <xdr:rowOff>82020</xdr:rowOff>
    </xdr:to>
    <xdr:sp macro="" textlink="'Pivot Tab'!E35">
      <xdr:nvSpPr>
        <xdr:cNvPr id="36" name="TextBox 35">
          <a:extLst>
            <a:ext uri="{FF2B5EF4-FFF2-40B4-BE49-F238E27FC236}">
              <a16:creationId xmlns:a16="http://schemas.microsoft.com/office/drawing/2014/main" id="{22923D3E-620A-1C2F-C7CE-4ADBF1111072}"/>
            </a:ext>
          </a:extLst>
        </xdr:cNvPr>
        <xdr:cNvSpPr txBox="1"/>
      </xdr:nvSpPr>
      <xdr:spPr>
        <a:xfrm>
          <a:off x="7553853" y="1484313"/>
          <a:ext cx="1051719" cy="50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B5040CB-CE7A-4478-9CB2-782765025E98}" type="TxLink">
            <a:rPr lang="en-US" sz="3600" b="1" i="0" u="none" strike="noStrike">
              <a:solidFill>
                <a:srgbClr val="002060">
                  <a:alpha val="91000"/>
                </a:srgbClr>
              </a:solidFill>
              <a:latin typeface="Calibri"/>
              <a:ea typeface="Calibri"/>
              <a:cs typeface="Calibri"/>
            </a:rPr>
            <a:pPr marL="0" indent="0" algn="l"/>
            <a:t>74%</a:t>
          </a:fld>
          <a:endParaRPr lang="en-US" sz="3600" b="1" i="0" u="none" strike="noStrike">
            <a:solidFill>
              <a:srgbClr val="002060">
                <a:alpha val="91000"/>
              </a:srgbClr>
            </a:solidFill>
            <a:latin typeface="Calibri"/>
            <a:ea typeface="Calibri"/>
            <a:cs typeface="Calibri"/>
          </a:endParaRPr>
        </a:p>
      </xdr:txBody>
    </xdr:sp>
    <xdr:clientData/>
  </xdr:twoCellAnchor>
  <xdr:twoCellAnchor>
    <xdr:from>
      <xdr:col>20</xdr:col>
      <xdr:colOff>154781</xdr:colOff>
      <xdr:row>8</xdr:row>
      <xdr:rowOff>9261</xdr:rowOff>
    </xdr:from>
    <xdr:to>
      <xdr:col>21</xdr:col>
      <xdr:colOff>308239</xdr:colOff>
      <xdr:row>10</xdr:row>
      <xdr:rowOff>109802</xdr:rowOff>
    </xdr:to>
    <xdr:sp macro="" textlink="'Pivot Tab'!$I$11">
      <xdr:nvSpPr>
        <xdr:cNvPr id="39" name="TextBox 38">
          <a:extLst>
            <a:ext uri="{FF2B5EF4-FFF2-40B4-BE49-F238E27FC236}">
              <a16:creationId xmlns:a16="http://schemas.microsoft.com/office/drawing/2014/main" id="{8126FE64-4CCA-137B-950F-A4C4216E93A1}"/>
            </a:ext>
          </a:extLst>
        </xdr:cNvPr>
        <xdr:cNvSpPr txBox="1"/>
      </xdr:nvSpPr>
      <xdr:spPr>
        <a:xfrm>
          <a:off x="12299156" y="1533261"/>
          <a:ext cx="760677" cy="481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B28B3F7-ECE6-49D4-9141-0B25BE772E9A}" type="TxLink">
            <a:rPr lang="en-US" sz="3600" b="1" i="0" u="none" strike="noStrike">
              <a:solidFill>
                <a:srgbClr val="002060">
                  <a:alpha val="91000"/>
                </a:srgbClr>
              </a:solidFill>
              <a:latin typeface="Calibri"/>
              <a:ea typeface="Calibri"/>
              <a:cs typeface="Calibri"/>
            </a:rPr>
            <a:pPr marL="0" indent="0" algn="l"/>
            <a:t>32</a:t>
          </a:fld>
          <a:endParaRPr lang="en-US" sz="3600" b="1" i="0" u="none" strike="noStrike">
            <a:solidFill>
              <a:srgbClr val="002060">
                <a:alpha val="91000"/>
              </a:srgbClr>
            </a:solidFill>
            <a:latin typeface="Calibri"/>
            <a:ea typeface="Calibri"/>
            <a:cs typeface="Calibri"/>
          </a:endParaRPr>
        </a:p>
      </xdr:txBody>
    </xdr:sp>
    <xdr:clientData/>
  </xdr:twoCellAnchor>
  <xdr:twoCellAnchor>
    <xdr:from>
      <xdr:col>18</xdr:col>
      <xdr:colOff>326231</xdr:colOff>
      <xdr:row>11</xdr:row>
      <xdr:rowOff>109537</xdr:rowOff>
    </xdr:from>
    <xdr:to>
      <xdr:col>22</xdr:col>
      <xdr:colOff>315648</xdr:colOff>
      <xdr:row>14</xdr:row>
      <xdr:rowOff>126471</xdr:rowOff>
    </xdr:to>
    <xdr:sp macro="" textlink="">
      <xdr:nvSpPr>
        <xdr:cNvPr id="40" name="TextBox 39">
          <a:extLst>
            <a:ext uri="{FF2B5EF4-FFF2-40B4-BE49-F238E27FC236}">
              <a16:creationId xmlns:a16="http://schemas.microsoft.com/office/drawing/2014/main" id="{91EA98E5-DDAE-7AFA-75CD-06C47A2057C4}"/>
            </a:ext>
          </a:extLst>
        </xdr:cNvPr>
        <xdr:cNvSpPr txBox="1"/>
      </xdr:nvSpPr>
      <xdr:spPr>
        <a:xfrm>
          <a:off x="11256169" y="2205037"/>
          <a:ext cx="2418292" cy="588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rgbClr val="002060"/>
              </a:solidFill>
              <a:latin typeface="+mn-lt"/>
              <a:ea typeface="+mn-ea"/>
              <a:cs typeface="+mn-cs"/>
            </a:rPr>
            <a:t>Critical</a:t>
          </a:r>
          <a:r>
            <a:rPr lang="en-US" sz="1600" b="1" baseline="0">
              <a:solidFill>
                <a:srgbClr val="002060"/>
              </a:solidFill>
            </a:rPr>
            <a:t> Suppliers At Risk</a:t>
          </a:r>
          <a:br>
            <a:rPr lang="en-US" sz="1100" baseline="0"/>
          </a:br>
          <a:r>
            <a:rPr lang="en-US" sz="1400" b="1" baseline="0">
              <a:solidFill>
                <a:schemeClr val="bg1"/>
              </a:solidFill>
            </a:rPr>
            <a:t>delayed or unresponsive</a:t>
          </a:r>
          <a:endParaRPr lang="en-US" sz="1400" b="1">
            <a:solidFill>
              <a:schemeClr val="bg1"/>
            </a:solidFill>
          </a:endParaRPr>
        </a:p>
      </xdr:txBody>
    </xdr:sp>
    <xdr:clientData/>
  </xdr:twoCellAnchor>
  <xdr:twoCellAnchor>
    <xdr:from>
      <xdr:col>25</xdr:col>
      <xdr:colOff>52653</xdr:colOff>
      <xdr:row>7</xdr:row>
      <xdr:rowOff>166687</xdr:rowOff>
    </xdr:from>
    <xdr:to>
      <xdr:col>29</xdr:col>
      <xdr:colOff>490536</xdr:colOff>
      <xdr:row>10</xdr:row>
      <xdr:rowOff>160338</xdr:rowOff>
    </xdr:to>
    <xdr:sp macro="" textlink="'Pivot Tab'!$J$11">
      <xdr:nvSpPr>
        <xdr:cNvPr id="41" name="TextBox 40">
          <a:extLst>
            <a:ext uri="{FF2B5EF4-FFF2-40B4-BE49-F238E27FC236}">
              <a16:creationId xmlns:a16="http://schemas.microsoft.com/office/drawing/2014/main" id="{1EF50959-F730-16D9-68FD-DC18D7A11018}"/>
            </a:ext>
          </a:extLst>
        </xdr:cNvPr>
        <xdr:cNvSpPr txBox="1"/>
      </xdr:nvSpPr>
      <xdr:spPr>
        <a:xfrm>
          <a:off x="15233122" y="1500187"/>
          <a:ext cx="2866758" cy="565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E8DD15D-747A-4601-AED3-B94009FA8E86}" type="TxLink">
            <a:rPr lang="en-US" sz="3600" b="1" i="0" u="none" strike="noStrike">
              <a:solidFill>
                <a:srgbClr val="002060">
                  <a:alpha val="91000"/>
                </a:srgbClr>
              </a:solidFill>
              <a:latin typeface="Calibri"/>
              <a:ea typeface="Calibri"/>
              <a:cs typeface="Calibri"/>
            </a:rPr>
            <a:pPr marL="0" indent="0" algn="l"/>
            <a:t>$8,711,400.00</a:t>
          </a:fld>
          <a:endParaRPr lang="en-US" sz="3600" b="1" i="0" u="none" strike="noStrike">
            <a:solidFill>
              <a:srgbClr val="002060">
                <a:alpha val="91000"/>
              </a:srgbClr>
            </a:solidFill>
            <a:latin typeface="Calibri"/>
            <a:ea typeface="Calibri"/>
            <a:cs typeface="Calibri"/>
          </a:endParaRPr>
        </a:p>
      </xdr:txBody>
    </xdr:sp>
    <xdr:clientData/>
  </xdr:twoCellAnchor>
  <xdr:twoCellAnchor>
    <xdr:from>
      <xdr:col>25</xdr:col>
      <xdr:colOff>174096</xdr:colOff>
      <xdr:row>11</xdr:row>
      <xdr:rowOff>113774</xdr:rowOff>
    </xdr:from>
    <xdr:to>
      <xdr:col>29</xdr:col>
      <xdr:colOff>369095</xdr:colOff>
      <xdr:row>14</xdr:row>
      <xdr:rowOff>119064</xdr:rowOff>
    </xdr:to>
    <xdr:sp macro="" textlink="">
      <xdr:nvSpPr>
        <xdr:cNvPr id="42" name="TextBox 41">
          <a:extLst>
            <a:ext uri="{FF2B5EF4-FFF2-40B4-BE49-F238E27FC236}">
              <a16:creationId xmlns:a16="http://schemas.microsoft.com/office/drawing/2014/main" id="{A39510A1-788C-3BAB-517F-78B302B512C4}"/>
            </a:ext>
          </a:extLst>
        </xdr:cNvPr>
        <xdr:cNvSpPr txBox="1"/>
      </xdr:nvSpPr>
      <xdr:spPr>
        <a:xfrm>
          <a:off x="15354565" y="2209274"/>
          <a:ext cx="2623874" cy="576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Annual</a:t>
          </a:r>
          <a:r>
            <a:rPr lang="en-US" sz="1600" b="1" baseline="0">
              <a:solidFill>
                <a:srgbClr val="002060"/>
              </a:solidFill>
            </a:rPr>
            <a:t> Spend At Risk</a:t>
          </a:r>
          <a:br>
            <a:rPr lang="en-US" sz="1100" baseline="0"/>
          </a:br>
          <a:r>
            <a:rPr lang="en-US" sz="1400" b="1" baseline="0">
              <a:solidFill>
                <a:schemeClr val="bg1"/>
              </a:solidFill>
            </a:rPr>
            <a:t>22% of $40.0M total</a:t>
          </a:r>
          <a:endParaRPr lang="en-US" sz="1400" b="1">
            <a:solidFill>
              <a:schemeClr val="bg1"/>
            </a:solidFill>
          </a:endParaRPr>
        </a:p>
      </xdr:txBody>
    </xdr:sp>
    <xdr:clientData/>
  </xdr:twoCellAnchor>
  <xdr:twoCellAnchor>
    <xdr:from>
      <xdr:col>2</xdr:col>
      <xdr:colOff>530488</xdr:colOff>
      <xdr:row>21</xdr:row>
      <xdr:rowOff>155573</xdr:rowOff>
    </xdr:from>
    <xdr:to>
      <xdr:col>16</xdr:col>
      <xdr:colOff>71435</xdr:colOff>
      <xdr:row>47</xdr:row>
      <xdr:rowOff>0</xdr:rowOff>
    </xdr:to>
    <xdr:graphicFrame macro="">
      <xdr:nvGraphicFramePr>
        <xdr:cNvPr id="48" name="Chart 47">
          <a:extLst>
            <a:ext uri="{FF2B5EF4-FFF2-40B4-BE49-F238E27FC236}">
              <a16:creationId xmlns:a16="http://schemas.microsoft.com/office/drawing/2014/main" id="{A703AFE3-D4BF-4AAF-A02F-5DFDE79D4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142876</xdr:colOff>
      <xdr:row>22</xdr:row>
      <xdr:rowOff>49741</xdr:rowOff>
    </xdr:from>
    <xdr:to>
      <xdr:col>29</xdr:col>
      <xdr:colOff>261938</xdr:colOff>
      <xdr:row>45</xdr:row>
      <xdr:rowOff>47625</xdr:rowOff>
    </xdr:to>
    <xdr:graphicFrame macro="">
      <xdr:nvGraphicFramePr>
        <xdr:cNvPr id="53" name="Chart 52">
          <a:extLst>
            <a:ext uri="{FF2B5EF4-FFF2-40B4-BE49-F238E27FC236}">
              <a16:creationId xmlns:a16="http://schemas.microsoft.com/office/drawing/2014/main" id="{73A73378-2FCF-4435-A604-428675322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523874</xdr:colOff>
      <xdr:row>73</xdr:row>
      <xdr:rowOff>95250</xdr:rowOff>
    </xdr:from>
    <xdr:to>
      <xdr:col>10</xdr:col>
      <xdr:colOff>23811</xdr:colOff>
      <xdr:row>77</xdr:row>
      <xdr:rowOff>11906</xdr:rowOff>
    </xdr:to>
    <xdr:sp macro="" textlink="">
      <xdr:nvSpPr>
        <xdr:cNvPr id="65" name="TextBox 64">
          <a:extLst>
            <a:ext uri="{FF2B5EF4-FFF2-40B4-BE49-F238E27FC236}">
              <a16:creationId xmlns:a16="http://schemas.microsoft.com/office/drawing/2014/main" id="{89DAD638-29C7-C47A-579B-9C84843BEC66}"/>
            </a:ext>
          </a:extLst>
        </xdr:cNvPr>
        <xdr:cNvSpPr txBox="1"/>
      </xdr:nvSpPr>
      <xdr:spPr>
        <a:xfrm>
          <a:off x="1131093" y="10953750"/>
          <a:ext cx="4964906" cy="67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2">
                  <a:lumMod val="50000"/>
                </a:schemeClr>
              </a:solidFill>
            </a:rPr>
            <a:t>Top Critical Suppliers At Risk</a:t>
          </a:r>
          <a:br>
            <a:rPr lang="en-US" sz="1100"/>
          </a:br>
          <a:r>
            <a:rPr lang="en-US" sz="1200" b="1">
              <a:solidFill>
                <a:srgbClr val="C00000"/>
              </a:solidFill>
            </a:rPr>
            <a:t>Highest-spend essential services not yet secured</a:t>
          </a:r>
        </a:p>
      </xdr:txBody>
    </xdr:sp>
    <xdr:clientData/>
  </xdr:twoCellAnchor>
  <xdr:twoCellAnchor editAs="oneCell">
    <xdr:from>
      <xdr:col>1</xdr:col>
      <xdr:colOff>571501</xdr:colOff>
      <xdr:row>77</xdr:row>
      <xdr:rowOff>119062</xdr:rowOff>
    </xdr:from>
    <xdr:to>
      <xdr:col>16</xdr:col>
      <xdr:colOff>547688</xdr:colOff>
      <xdr:row>97</xdr:row>
      <xdr:rowOff>8824</xdr:rowOff>
    </xdr:to>
    <xdr:pic>
      <xdr:nvPicPr>
        <xdr:cNvPr id="110" name="Picture 109">
          <a:extLst>
            <a:ext uri="{FF2B5EF4-FFF2-40B4-BE49-F238E27FC236}">
              <a16:creationId xmlns:a16="http://schemas.microsoft.com/office/drawing/2014/main" id="{D8FDACEB-BDE2-EED6-7EC9-D83DD85BD4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78720" y="11739562"/>
          <a:ext cx="9084468" cy="3699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71436</xdr:colOff>
      <xdr:row>74</xdr:row>
      <xdr:rowOff>11905</xdr:rowOff>
    </xdr:from>
    <xdr:to>
      <xdr:col>32</xdr:col>
      <xdr:colOff>428625</xdr:colOff>
      <xdr:row>77</xdr:row>
      <xdr:rowOff>119062</xdr:rowOff>
    </xdr:to>
    <xdr:sp macro="" textlink="">
      <xdr:nvSpPr>
        <xdr:cNvPr id="113" name="TextBox 112">
          <a:extLst>
            <a:ext uri="{FF2B5EF4-FFF2-40B4-BE49-F238E27FC236}">
              <a16:creationId xmlns:a16="http://schemas.microsoft.com/office/drawing/2014/main" id="{2084626A-5D85-D5B7-F12E-B70C5FBB8735}"/>
            </a:ext>
          </a:extLst>
        </xdr:cNvPr>
        <xdr:cNvSpPr txBox="1"/>
      </xdr:nvSpPr>
      <xdr:spPr>
        <a:xfrm>
          <a:off x="12215811" y="11060905"/>
          <a:ext cx="7643814" cy="678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2060"/>
              </a:solidFill>
            </a:rPr>
            <a:t>Poor</a:t>
          </a:r>
          <a:r>
            <a:rPr lang="en-US" sz="2000" b="1" baseline="0">
              <a:solidFill>
                <a:srgbClr val="002060"/>
              </a:solidFill>
            </a:rPr>
            <a:t> Supplier Communication</a:t>
          </a:r>
          <a:br>
            <a:rPr lang="en-US" sz="1100" baseline="0"/>
          </a:br>
          <a:r>
            <a:rPr lang="en-US" sz="1200" b="1" baseline="0">
              <a:solidFill>
                <a:srgbClr val="A20000"/>
              </a:solidFill>
            </a:rPr>
            <a:t>23 unresponsive suppliers, concentrated under three coordinators- a coaching/support signal not a vendor-wide issue</a:t>
          </a:r>
          <a:endParaRPr lang="en-US" sz="1200" b="1">
            <a:solidFill>
              <a:srgbClr val="A20000"/>
            </a:solidFill>
          </a:endParaRPr>
        </a:p>
      </xdr:txBody>
    </xdr:sp>
    <xdr:clientData/>
  </xdr:twoCellAnchor>
  <xdr:twoCellAnchor>
    <xdr:from>
      <xdr:col>19</xdr:col>
      <xdr:colOff>423863</xdr:colOff>
      <xdr:row>77</xdr:row>
      <xdr:rowOff>185736</xdr:rowOff>
    </xdr:from>
    <xdr:to>
      <xdr:col>24</xdr:col>
      <xdr:colOff>39529</xdr:colOff>
      <xdr:row>85</xdr:row>
      <xdr:rowOff>153986</xdr:rowOff>
    </xdr:to>
    <xdr:sp macro="" textlink="">
      <xdr:nvSpPr>
        <xdr:cNvPr id="116" name="Rectangle: Rounded Corners 115">
          <a:extLst>
            <a:ext uri="{FF2B5EF4-FFF2-40B4-BE49-F238E27FC236}">
              <a16:creationId xmlns:a16="http://schemas.microsoft.com/office/drawing/2014/main" id="{28716AE1-26F4-664D-9DF2-8252C9D0E856}"/>
            </a:ext>
          </a:extLst>
        </xdr:cNvPr>
        <xdr:cNvSpPr/>
      </xdr:nvSpPr>
      <xdr:spPr>
        <a:xfrm>
          <a:off x="11961019" y="11806236"/>
          <a:ext cx="2651760" cy="1492250"/>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236934</xdr:colOff>
      <xdr:row>77</xdr:row>
      <xdr:rowOff>183355</xdr:rowOff>
    </xdr:from>
    <xdr:to>
      <xdr:col>28</xdr:col>
      <xdr:colOff>459819</xdr:colOff>
      <xdr:row>85</xdr:row>
      <xdr:rowOff>151605</xdr:rowOff>
    </xdr:to>
    <xdr:sp macro="" textlink="">
      <xdr:nvSpPr>
        <xdr:cNvPr id="117" name="Rectangle: Rounded Corners 116">
          <a:extLst>
            <a:ext uri="{FF2B5EF4-FFF2-40B4-BE49-F238E27FC236}">
              <a16:creationId xmlns:a16="http://schemas.microsoft.com/office/drawing/2014/main" id="{6AD39777-7247-5520-E2D5-66F59D580DCB}"/>
            </a:ext>
          </a:extLst>
        </xdr:cNvPr>
        <xdr:cNvSpPr/>
      </xdr:nvSpPr>
      <xdr:spPr>
        <a:xfrm>
          <a:off x="14810184" y="11803855"/>
          <a:ext cx="2651760" cy="1492250"/>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50006</xdr:colOff>
      <xdr:row>77</xdr:row>
      <xdr:rowOff>180973</xdr:rowOff>
    </xdr:from>
    <xdr:to>
      <xdr:col>33</xdr:col>
      <xdr:colOff>272891</xdr:colOff>
      <xdr:row>85</xdr:row>
      <xdr:rowOff>149223</xdr:rowOff>
    </xdr:to>
    <xdr:sp macro="" textlink="">
      <xdr:nvSpPr>
        <xdr:cNvPr id="118" name="Rectangle: Rounded Corners 117">
          <a:extLst>
            <a:ext uri="{FF2B5EF4-FFF2-40B4-BE49-F238E27FC236}">
              <a16:creationId xmlns:a16="http://schemas.microsoft.com/office/drawing/2014/main" id="{30D45639-1C7A-AB2C-F2EF-3EE2FADE060A}"/>
            </a:ext>
          </a:extLst>
        </xdr:cNvPr>
        <xdr:cNvSpPr/>
      </xdr:nvSpPr>
      <xdr:spPr>
        <a:xfrm>
          <a:off x="17659350" y="11801473"/>
          <a:ext cx="2651760" cy="1492250"/>
        </a:xfrm>
        <a:prstGeom prst="roundRect">
          <a:avLst/>
        </a:prstGeom>
        <a:ln>
          <a:noFill/>
        </a:ln>
        <a:effectLst>
          <a:outerShdw blurRad="50800" dist="38100" dir="10800000" algn="r" rotWithShape="0">
            <a:prstClr val="black">
              <a:alpha val="40000"/>
            </a:prst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238126</xdr:colOff>
      <xdr:row>78</xdr:row>
      <xdr:rowOff>157159</xdr:rowOff>
    </xdr:from>
    <xdr:to>
      <xdr:col>33</xdr:col>
      <xdr:colOff>59531</xdr:colOff>
      <xdr:row>84</xdr:row>
      <xdr:rowOff>130969</xdr:rowOff>
    </xdr:to>
    <xdr:sp macro="" textlink="">
      <xdr:nvSpPr>
        <xdr:cNvPr id="121" name="TextBox 120">
          <a:extLst>
            <a:ext uri="{FF2B5EF4-FFF2-40B4-BE49-F238E27FC236}">
              <a16:creationId xmlns:a16="http://schemas.microsoft.com/office/drawing/2014/main" id="{D081BECB-3DF4-41FD-B019-6A2E72EBB71F}"/>
            </a:ext>
          </a:extLst>
        </xdr:cNvPr>
        <xdr:cNvSpPr txBox="1"/>
      </xdr:nvSpPr>
      <xdr:spPr>
        <a:xfrm>
          <a:off x="17847470" y="11968159"/>
          <a:ext cx="2250280" cy="1116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A20000"/>
              </a:solidFill>
            </a:rPr>
            <a:t>7</a:t>
          </a:r>
        </a:p>
        <a:p>
          <a:pPr algn="ctr"/>
          <a:r>
            <a:rPr lang="en-US" sz="2000" b="1">
              <a:solidFill>
                <a:srgbClr val="002060"/>
              </a:solidFill>
            </a:rPr>
            <a:t>Andre Boseman</a:t>
          </a:r>
        </a:p>
      </xdr:txBody>
    </xdr:sp>
    <xdr:clientData/>
  </xdr:twoCellAnchor>
  <xdr:twoCellAnchor>
    <xdr:from>
      <xdr:col>24</xdr:col>
      <xdr:colOff>439340</xdr:colOff>
      <xdr:row>78</xdr:row>
      <xdr:rowOff>147637</xdr:rowOff>
    </xdr:from>
    <xdr:to>
      <xdr:col>28</xdr:col>
      <xdr:colOff>260745</xdr:colOff>
      <xdr:row>84</xdr:row>
      <xdr:rowOff>121447</xdr:rowOff>
    </xdr:to>
    <xdr:sp macro="" textlink="">
      <xdr:nvSpPr>
        <xdr:cNvPr id="122" name="TextBox 121">
          <a:extLst>
            <a:ext uri="{FF2B5EF4-FFF2-40B4-BE49-F238E27FC236}">
              <a16:creationId xmlns:a16="http://schemas.microsoft.com/office/drawing/2014/main" id="{BEF4FCFD-3AB2-4913-9883-62955B2D0BE8}"/>
            </a:ext>
          </a:extLst>
        </xdr:cNvPr>
        <xdr:cNvSpPr txBox="1"/>
      </xdr:nvSpPr>
      <xdr:spPr>
        <a:xfrm>
          <a:off x="15012590" y="11958637"/>
          <a:ext cx="2250280" cy="1116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A20000"/>
              </a:solidFill>
            </a:rPr>
            <a:t>8</a:t>
          </a:r>
          <a:br>
            <a:rPr lang="en-US" sz="2400" b="1">
              <a:solidFill>
                <a:srgbClr val="A20000"/>
              </a:solidFill>
            </a:rPr>
          </a:br>
          <a:r>
            <a:rPr lang="en-US" sz="2000" b="1">
              <a:solidFill>
                <a:srgbClr val="002060"/>
              </a:solidFill>
            </a:rPr>
            <a:t>Hannah</a:t>
          </a:r>
          <a:r>
            <a:rPr lang="en-US" sz="2000" b="1" baseline="0">
              <a:solidFill>
                <a:srgbClr val="002060"/>
              </a:solidFill>
            </a:rPr>
            <a:t> Whitlock</a:t>
          </a:r>
          <a:endParaRPr lang="en-US" sz="2000" b="1">
            <a:solidFill>
              <a:srgbClr val="002060"/>
            </a:solidFill>
          </a:endParaRPr>
        </a:p>
      </xdr:txBody>
    </xdr:sp>
    <xdr:clientData/>
  </xdr:twoCellAnchor>
  <xdr:twoCellAnchor>
    <xdr:from>
      <xdr:col>19</xdr:col>
      <xdr:colOff>578644</xdr:colOff>
      <xdr:row>78</xdr:row>
      <xdr:rowOff>150018</xdr:rowOff>
    </xdr:from>
    <xdr:to>
      <xdr:col>23</xdr:col>
      <xdr:colOff>400049</xdr:colOff>
      <xdr:row>84</xdr:row>
      <xdr:rowOff>123828</xdr:rowOff>
    </xdr:to>
    <xdr:sp macro="" textlink="">
      <xdr:nvSpPr>
        <xdr:cNvPr id="124" name="TextBox 123">
          <a:extLst>
            <a:ext uri="{FF2B5EF4-FFF2-40B4-BE49-F238E27FC236}">
              <a16:creationId xmlns:a16="http://schemas.microsoft.com/office/drawing/2014/main" id="{AAA2EAB6-749D-4F45-986B-BD47BECA0546}"/>
            </a:ext>
          </a:extLst>
        </xdr:cNvPr>
        <xdr:cNvSpPr txBox="1"/>
      </xdr:nvSpPr>
      <xdr:spPr>
        <a:xfrm>
          <a:off x="12115800" y="11961018"/>
          <a:ext cx="2250280" cy="1116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A20000"/>
              </a:solidFill>
            </a:rPr>
            <a:t>8</a:t>
          </a:r>
        </a:p>
        <a:p>
          <a:pPr algn="ctr"/>
          <a:r>
            <a:rPr lang="en-US" sz="2000" b="1">
              <a:solidFill>
                <a:srgbClr val="002060"/>
              </a:solidFill>
            </a:rPr>
            <a:t>Priya</a:t>
          </a:r>
          <a:r>
            <a:rPr lang="en-US" sz="2000" b="1" baseline="0">
              <a:solidFill>
                <a:srgbClr val="002060"/>
              </a:solidFill>
            </a:rPr>
            <a:t> Kappor</a:t>
          </a:r>
          <a:endParaRPr lang="en-US" sz="2000" b="1">
            <a:solidFill>
              <a:srgbClr val="002060"/>
            </a:solidFill>
          </a:endParaRPr>
        </a:p>
      </xdr:txBody>
    </xdr:sp>
    <xdr:clientData/>
  </xdr:twoCellAnchor>
  <xdr:twoCellAnchor>
    <xdr:from>
      <xdr:col>19</xdr:col>
      <xdr:colOff>559594</xdr:colOff>
      <xdr:row>87</xdr:row>
      <xdr:rowOff>47625</xdr:rowOff>
    </xdr:from>
    <xdr:to>
      <xdr:col>33</xdr:col>
      <xdr:colOff>11906</xdr:colOff>
      <xdr:row>90</xdr:row>
      <xdr:rowOff>154781</xdr:rowOff>
    </xdr:to>
    <xdr:sp macro="" textlink="">
      <xdr:nvSpPr>
        <xdr:cNvPr id="125" name="TextBox 124">
          <a:extLst>
            <a:ext uri="{FF2B5EF4-FFF2-40B4-BE49-F238E27FC236}">
              <a16:creationId xmlns:a16="http://schemas.microsoft.com/office/drawing/2014/main" id="{FF6489B9-9468-B510-6D5D-699CDB1838AA}"/>
            </a:ext>
          </a:extLst>
        </xdr:cNvPr>
        <xdr:cNvSpPr txBox="1"/>
      </xdr:nvSpPr>
      <xdr:spPr>
        <a:xfrm>
          <a:off x="12096750" y="13573125"/>
          <a:ext cx="7953375" cy="67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rgbClr val="002060"/>
              </a:solidFill>
              <a:latin typeface="+mn-lt"/>
              <a:ea typeface="+mn-ea"/>
              <a:cs typeface="+mn-cs"/>
            </a:rPr>
            <a:t>Note: Damon Fields carries the most delays (23) but zero poor-comms - he's communicating; 12 of his are promised same-day. A backlog problem, not a responsiveness one.</a:t>
          </a:r>
        </a:p>
      </xdr:txBody>
    </xdr:sp>
    <xdr:clientData/>
  </xdr:twoCellAnchor>
  <xdr:twoCellAnchor>
    <xdr:from>
      <xdr:col>7</xdr:col>
      <xdr:colOff>95249</xdr:colOff>
      <xdr:row>52</xdr:row>
      <xdr:rowOff>107156</xdr:rowOff>
    </xdr:from>
    <xdr:to>
      <xdr:col>30</xdr:col>
      <xdr:colOff>214313</xdr:colOff>
      <xdr:row>67</xdr:row>
      <xdr:rowOff>154781</xdr:rowOff>
    </xdr:to>
    <xdr:graphicFrame macro="">
      <xdr:nvGraphicFramePr>
        <xdr:cNvPr id="126" name="Chart 125">
          <a:extLst>
            <a:ext uri="{FF2B5EF4-FFF2-40B4-BE49-F238E27FC236}">
              <a16:creationId xmlns:a16="http://schemas.microsoft.com/office/drawing/2014/main" id="{1E1B094B-E0D6-43CC-BF76-CB8B8B5D7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416718</xdr:colOff>
      <xdr:row>54</xdr:row>
      <xdr:rowOff>178595</xdr:rowOff>
    </xdr:from>
    <xdr:to>
      <xdr:col>7</xdr:col>
      <xdr:colOff>130968</xdr:colOff>
      <xdr:row>65</xdr:row>
      <xdr:rowOff>178595</xdr:rowOff>
    </xdr:to>
    <xdr:sp macro="" textlink="">
      <xdr:nvSpPr>
        <xdr:cNvPr id="127" name="TextBox 126">
          <a:extLst>
            <a:ext uri="{FF2B5EF4-FFF2-40B4-BE49-F238E27FC236}">
              <a16:creationId xmlns:a16="http://schemas.microsoft.com/office/drawing/2014/main" id="{76F4A531-244E-F9E6-9D0A-FC695102E09B}"/>
            </a:ext>
          </a:extLst>
        </xdr:cNvPr>
        <xdr:cNvSpPr txBox="1"/>
      </xdr:nvSpPr>
      <xdr:spPr>
        <a:xfrm>
          <a:off x="1631156" y="10751345"/>
          <a:ext cx="2750343" cy="209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C00000"/>
              </a:solidFill>
            </a:rPr>
            <a:t>$5.55M</a:t>
          </a:r>
          <a:br>
            <a:rPr lang="en-US" sz="1100"/>
          </a:br>
          <a:br>
            <a:rPr lang="en-US" sz="1100"/>
          </a:br>
          <a:r>
            <a:rPr lang="en-US" sz="1200" b="1">
              <a:solidFill>
                <a:srgbClr val="002060"/>
              </a:solidFill>
            </a:rPr>
            <a:t>Annual</a:t>
          </a:r>
          <a:r>
            <a:rPr lang="en-US" sz="1200" b="1" baseline="0">
              <a:solidFill>
                <a:srgbClr val="002060"/>
              </a:solidFill>
            </a:rPr>
            <a:t> spend tied to 32 critical suppliers that are delayed or unresponsive - HVAC electrical, security, fire &amp; life safety, elevators. </a:t>
          </a:r>
          <a:endParaRPr lang="en-US" sz="1200" b="1">
            <a:solidFill>
              <a:srgbClr val="002060"/>
            </a:solidFill>
          </a:endParaRPr>
        </a:p>
      </xdr:txBody>
    </xdr:sp>
    <xdr:clientData/>
  </xdr:twoCellAnchor>
  <xdr:twoCellAnchor>
    <xdr:from>
      <xdr:col>2</xdr:col>
      <xdr:colOff>190500</xdr:colOff>
      <xdr:row>104</xdr:row>
      <xdr:rowOff>59532</xdr:rowOff>
    </xdr:from>
    <xdr:to>
      <xdr:col>31</xdr:col>
      <xdr:colOff>23815</xdr:colOff>
      <xdr:row>120</xdr:row>
      <xdr:rowOff>142876</xdr:rowOff>
    </xdr:to>
    <xdr:sp macro="" textlink="">
      <xdr:nvSpPr>
        <xdr:cNvPr id="128" name="Rectangle: Rounded Corners 127">
          <a:extLst>
            <a:ext uri="{FF2B5EF4-FFF2-40B4-BE49-F238E27FC236}">
              <a16:creationId xmlns:a16="http://schemas.microsoft.com/office/drawing/2014/main" id="{D83B43F8-CCD8-4586-9EC6-C336200DFB1C}"/>
            </a:ext>
          </a:extLst>
        </xdr:cNvPr>
        <xdr:cNvSpPr/>
      </xdr:nvSpPr>
      <xdr:spPr>
        <a:xfrm>
          <a:off x="1404938" y="20204907"/>
          <a:ext cx="17442658" cy="3131344"/>
        </a:xfrm>
        <a:prstGeom prst="roundRect">
          <a:avLst/>
        </a:prstGeom>
        <a:ln>
          <a:noFill/>
        </a:ln>
        <a:effectLst>
          <a:outerShdw blurRad="76200" dist="12700" dir="8100000" sy="-23000" kx="800400" algn="br" rotWithShape="0">
            <a:schemeClr val="accent2">
              <a:lumMod val="60000"/>
              <a:lumOff val="40000"/>
              <a:alpha val="20000"/>
            </a:schemeClr>
          </a:outerShdw>
        </a:effectLst>
      </xdr:spPr>
      <xdr:style>
        <a:lnRef idx="2">
          <a:schemeClr val="accent1">
            <a:shade val="15000"/>
          </a:schemeClr>
        </a:lnRef>
        <a:fillRef idx="1002">
          <a:schemeClr val="l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130971</xdr:colOff>
      <xdr:row>104</xdr:row>
      <xdr:rowOff>166688</xdr:rowOff>
    </xdr:from>
    <xdr:to>
      <xdr:col>29</xdr:col>
      <xdr:colOff>595313</xdr:colOff>
      <xdr:row>118</xdr:row>
      <xdr:rowOff>83344</xdr:rowOff>
    </xdr:to>
    <xdr:sp macro="" textlink="">
      <xdr:nvSpPr>
        <xdr:cNvPr id="129" name="TextBox 128">
          <a:extLst>
            <a:ext uri="{FF2B5EF4-FFF2-40B4-BE49-F238E27FC236}">
              <a16:creationId xmlns:a16="http://schemas.microsoft.com/office/drawing/2014/main" id="{9DFD0959-EA2A-4C04-0B27-ACAA9EF1C201}"/>
            </a:ext>
          </a:extLst>
        </xdr:cNvPr>
        <xdr:cNvSpPr txBox="1"/>
      </xdr:nvSpPr>
      <xdr:spPr>
        <a:xfrm>
          <a:off x="1952627" y="20359688"/>
          <a:ext cx="16252030" cy="2583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pPr marL="0" marR="0" indent="0" algn="ctr">
            <a:spcAft>
              <a:spcPts val="600"/>
            </a:spcAft>
            <a:buNone/>
          </a:pPr>
          <a:r>
            <a:rPr lang="en-US" sz="2400" b="1" i="0">
              <a:solidFill>
                <a:srgbClr val="008000"/>
              </a:solidFill>
              <a:effectLst/>
              <a:latin typeface="+mn-lt"/>
            </a:rPr>
            <a:t>Where leadership attention moves the needle</a:t>
          </a:r>
        </a:p>
        <a:p>
          <a:pPr marL="342900" marR="0" lvl="0" indent="-342900" algn="l">
            <a:buFont typeface="Arial" panose="020B0604020202020204" pitchFamily="34" charset="0"/>
            <a:buChar char="•"/>
          </a:pPr>
          <a:r>
            <a:rPr lang="en-US" sz="1400" b="1" i="0">
              <a:solidFill>
                <a:srgbClr val="1A2230"/>
              </a:solidFill>
              <a:effectLst/>
              <a:latin typeface="Segoe UI" panose="020B0502040204020203" pitchFamily="34" charset="0"/>
            </a:rPr>
            <a:t>Escalate the 32 critical at-risk suppliers first</a:t>
          </a:r>
          <a:r>
            <a:rPr lang="en-US" sz="1400" b="0" i="0">
              <a:solidFill>
                <a:srgbClr val="1A2230"/>
              </a:solidFill>
              <a:effectLst/>
              <a:latin typeface="Segoe UI" panose="020B0502040204020203" pitchFamily="34" charset="0"/>
            </a:rPr>
            <a:t> </a:t>
          </a:r>
          <a:r>
            <a:rPr lang="en-US" sz="1400" b="0" i="0" baseline="0">
              <a:solidFill>
                <a:srgbClr val="1A2230"/>
              </a:solidFill>
              <a:effectLst/>
              <a:latin typeface="Segoe UI" panose="020B0502040204020203" pitchFamily="34" charset="0"/>
            </a:rPr>
            <a:t> - </a:t>
          </a:r>
          <a:r>
            <a:rPr lang="en-US" sz="1400" b="0" i="0">
              <a:solidFill>
                <a:srgbClr val="1A2230"/>
              </a:solidFill>
              <a:effectLst/>
              <a:latin typeface="Segoe UI" panose="020B0502040204020203" pitchFamily="34" charset="0"/>
            </a:rPr>
            <a:t>$5.55M of must-have services; a war-room on the top 10 (HVAC, electrical, security, fire/life safety) protects opening readiness.</a:t>
          </a:r>
        </a:p>
        <a:p>
          <a:pPr marL="342900" marR="0" lvl="0" indent="-342900" algn="l">
            <a:buFont typeface="Arial" panose="020B0604020202020204" pitchFamily="34" charset="0"/>
            <a:buChar char="•"/>
          </a:pPr>
          <a:endParaRPr lang="en-US" sz="1400" b="0" i="0">
            <a:solidFill>
              <a:srgbClr val="1A2230"/>
            </a:solidFill>
            <a:effectLst/>
            <a:latin typeface="Segoe UI" panose="020B0502040204020203" pitchFamily="34" charset="0"/>
          </a:endParaRPr>
        </a:p>
        <a:p>
          <a:pPr marL="342900" marR="0" lvl="0" indent="-342900" algn="l">
            <a:buFont typeface="Arial" panose="020B0604020202020204" pitchFamily="34" charset="0"/>
            <a:buChar char="•"/>
          </a:pPr>
          <a:r>
            <a:rPr lang="en-US" sz="1400" b="1" i="0">
              <a:solidFill>
                <a:srgbClr val="1A2230"/>
              </a:solidFill>
              <a:effectLst/>
              <a:latin typeface="Segoe UI" panose="020B0502040204020203" pitchFamily="34" charset="0"/>
            </a:rPr>
            <a:t>Support Priya &amp; Hannah on communication</a:t>
          </a:r>
          <a:r>
            <a:rPr lang="en-US" sz="1400" b="0" i="0">
              <a:solidFill>
                <a:srgbClr val="1A2230"/>
              </a:solidFill>
              <a:effectLst/>
              <a:latin typeface="Segoe UI" panose="020B0502040204020203" pitchFamily="34" charset="0"/>
            </a:rPr>
            <a:t> </a:t>
          </a:r>
          <a:r>
            <a:rPr lang="en-US" sz="1400" b="0" i="0" baseline="0">
              <a:solidFill>
                <a:srgbClr val="1A2230"/>
              </a:solidFill>
              <a:effectLst/>
              <a:latin typeface="Segoe UI" panose="020B0502040204020203" pitchFamily="34" charset="0"/>
            </a:rPr>
            <a:t> - </a:t>
          </a:r>
          <a:r>
            <a:rPr lang="en-US" sz="1400" b="0" i="0">
              <a:solidFill>
                <a:srgbClr val="1A2230"/>
              </a:solidFill>
              <a:effectLst/>
              <a:latin typeface="Segoe UI" panose="020B0502040204020203" pitchFamily="34" charset="0"/>
            </a:rPr>
            <a:t>16 of the 23 unresponsive suppliers sit with them; pair with Marisol/Trevor's outreach playbook (both at 57% complete, zero poor-comms).</a:t>
          </a:r>
        </a:p>
        <a:p>
          <a:pPr marL="342900" marR="0" lvl="0" indent="-342900" algn="l">
            <a:buFont typeface="Arial" panose="020B0604020202020204" pitchFamily="34" charset="0"/>
            <a:buChar char="•"/>
          </a:pPr>
          <a:endParaRPr lang="en-US" sz="1400" b="0" i="0">
            <a:solidFill>
              <a:srgbClr val="1A2230"/>
            </a:solidFill>
            <a:effectLst/>
            <a:latin typeface="Segoe UI" panose="020B0502040204020203" pitchFamily="34" charset="0"/>
          </a:endParaRPr>
        </a:p>
        <a:p>
          <a:pPr marL="342900" marR="0" lvl="0" indent="-342900" algn="l">
            <a:buFont typeface="Arial" panose="020B0604020202020204" pitchFamily="34" charset="0"/>
            <a:buChar char="•"/>
          </a:pPr>
          <a:r>
            <a:rPr lang="en-US" sz="1400" b="1" i="0">
              <a:solidFill>
                <a:srgbClr val="1A2230"/>
              </a:solidFill>
              <a:effectLst/>
              <a:latin typeface="Segoe UI" panose="020B0502040204020203" pitchFamily="34" charset="0"/>
            </a:rPr>
            <a:t>Treat Damon's backlog differently</a:t>
          </a:r>
          <a:r>
            <a:rPr lang="en-US" sz="1400" b="0" i="0">
              <a:solidFill>
                <a:srgbClr val="1A2230"/>
              </a:solidFill>
              <a:effectLst/>
              <a:latin typeface="Segoe UI" panose="020B0502040204020203" pitchFamily="34" charset="0"/>
            </a:rPr>
            <a:t> </a:t>
          </a:r>
          <a:r>
            <a:rPr lang="en-US" sz="1400" b="0" i="0" baseline="0">
              <a:solidFill>
                <a:srgbClr val="1A2230"/>
              </a:solidFill>
              <a:effectLst/>
              <a:latin typeface="Segoe UI" panose="020B0502040204020203" pitchFamily="34" charset="0"/>
            </a:rPr>
            <a:t> - </a:t>
          </a:r>
          <a:r>
            <a:rPr lang="en-US" sz="1400" b="0" i="0">
              <a:solidFill>
                <a:srgbClr val="1A2230"/>
              </a:solidFill>
              <a:effectLst/>
              <a:latin typeface="Segoe UI" panose="020B0502040204020203" pitchFamily="34" charset="0"/>
            </a:rPr>
            <a:t>it's document throughput, not responsiveness; 12 of 23 are same-day, so a short doc-collection push likely clears it.</a:t>
          </a:r>
        </a:p>
        <a:p>
          <a:pPr marL="342900" marR="0" lvl="0" indent="-342900" algn="l">
            <a:buFont typeface="Arial" panose="020B0604020202020204" pitchFamily="34" charset="0"/>
            <a:buChar char="•"/>
          </a:pPr>
          <a:endParaRPr lang="en-US" sz="1400" b="0" i="0">
            <a:solidFill>
              <a:srgbClr val="1A2230"/>
            </a:solidFill>
            <a:effectLst/>
            <a:latin typeface="Segoe UI" panose="020B0502040204020203" pitchFamily="34" charset="0"/>
          </a:endParaRPr>
        </a:p>
        <a:p>
          <a:pPr marL="342900" marR="0" lvl="0" indent="-342900" algn="l">
            <a:buFont typeface="Arial" panose="020B0604020202020204" pitchFamily="34" charset="0"/>
            <a:buChar char="•"/>
          </a:pPr>
          <a:r>
            <a:rPr lang="en-US" sz="1400" b="1" i="0">
              <a:solidFill>
                <a:srgbClr val="1A2230"/>
              </a:solidFill>
              <a:effectLst/>
              <a:latin typeface="Segoe UI" panose="020B0502040204020203" pitchFamily="34" charset="0"/>
            </a:rPr>
            <a:t>Watch Yuki (19% complete)</a:t>
          </a:r>
          <a:r>
            <a:rPr lang="en-US" sz="1400" b="0" i="0">
              <a:solidFill>
                <a:srgbClr val="1A2230"/>
              </a:solidFill>
              <a:effectLst/>
              <a:latin typeface="Segoe UI" panose="020B0502040204020203" pitchFamily="34" charset="0"/>
            </a:rPr>
            <a:t> </a:t>
          </a:r>
          <a:r>
            <a:rPr lang="en-US" sz="1400" b="0" i="0" baseline="0">
              <a:solidFill>
                <a:srgbClr val="1A2230"/>
              </a:solidFill>
              <a:effectLst/>
              <a:latin typeface="Segoe UI" panose="020B0502040204020203" pitchFamily="34" charset="0"/>
            </a:rPr>
            <a:t> - </a:t>
          </a:r>
          <a:r>
            <a:rPr lang="en-US" sz="1400" b="0" i="0">
              <a:solidFill>
                <a:srgbClr val="1A2230"/>
              </a:solidFill>
              <a:effectLst/>
              <a:latin typeface="Segoe UI" panose="020B0502040204020203" pitchFamily="34" charset="0"/>
            </a:rPr>
            <a:t>book is mostly "in progress," so confirm it's flowing, not stalling.</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157161</xdr:colOff>
      <xdr:row>13</xdr:row>
      <xdr:rowOff>185737</xdr:rowOff>
    </xdr:from>
    <xdr:to>
      <xdr:col>13</xdr:col>
      <xdr:colOff>523874</xdr:colOff>
      <xdr:row>28</xdr:row>
      <xdr:rowOff>85725</xdr:rowOff>
    </xdr:to>
    <xdr:graphicFrame macro="">
      <xdr:nvGraphicFramePr>
        <xdr:cNvPr id="2" name="Chart 1">
          <a:extLst>
            <a:ext uri="{FF2B5EF4-FFF2-40B4-BE49-F238E27FC236}">
              <a16:creationId xmlns:a16="http://schemas.microsoft.com/office/drawing/2014/main" id="{55BC56C7-63C3-4D97-A7DE-66F0C85B3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19052</xdr:colOff>
      <xdr:row>8</xdr:row>
      <xdr:rowOff>95249</xdr:rowOff>
    </xdr:from>
    <xdr:to>
      <xdr:col>7</xdr:col>
      <xdr:colOff>171450</xdr:colOff>
      <xdr:row>25</xdr:row>
      <xdr:rowOff>114300</xdr:rowOff>
    </xdr:to>
    <xdr:graphicFrame macro="">
      <xdr:nvGraphicFramePr>
        <xdr:cNvPr id="6" name="Chart 5">
          <a:extLst>
            <a:ext uri="{FF2B5EF4-FFF2-40B4-BE49-F238E27FC236}">
              <a16:creationId xmlns:a16="http://schemas.microsoft.com/office/drawing/2014/main" id="{D8EA4684-8DC7-4F8F-9572-0EDFE8328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7</xdr:row>
      <xdr:rowOff>114300</xdr:rowOff>
    </xdr:from>
    <xdr:to>
      <xdr:col>10</xdr:col>
      <xdr:colOff>19050</xdr:colOff>
      <xdr:row>7</xdr:row>
      <xdr:rowOff>123825</xdr:rowOff>
    </xdr:to>
    <xdr:cxnSp macro="">
      <xdr:nvCxnSpPr>
        <xdr:cNvPr id="8" name="Straight Connector 7">
          <a:extLst>
            <a:ext uri="{FF2B5EF4-FFF2-40B4-BE49-F238E27FC236}">
              <a16:creationId xmlns:a16="http://schemas.microsoft.com/office/drawing/2014/main" id="{08C89597-9221-8A6C-7029-4E37CC97F048}"/>
            </a:ext>
          </a:extLst>
        </xdr:cNvPr>
        <xdr:cNvCxnSpPr/>
      </xdr:nvCxnSpPr>
      <xdr:spPr>
        <a:xfrm>
          <a:off x="76200" y="1447800"/>
          <a:ext cx="14975032" cy="9525"/>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0</xdr:colOff>
      <xdr:row>25</xdr:row>
      <xdr:rowOff>0</xdr:rowOff>
    </xdr:from>
    <xdr:to>
      <xdr:col>9</xdr:col>
      <xdr:colOff>1323975</xdr:colOff>
      <xdr:row>25</xdr:row>
      <xdr:rowOff>9525</xdr:rowOff>
    </xdr:to>
    <xdr:cxnSp macro="">
      <xdr:nvCxnSpPr>
        <xdr:cNvPr id="9" name="Straight Connector 8">
          <a:extLst>
            <a:ext uri="{FF2B5EF4-FFF2-40B4-BE49-F238E27FC236}">
              <a16:creationId xmlns:a16="http://schemas.microsoft.com/office/drawing/2014/main" id="{FACA9BA6-40C8-44FB-9646-216ED8E942D7}"/>
            </a:ext>
          </a:extLst>
        </xdr:cNvPr>
        <xdr:cNvCxnSpPr/>
      </xdr:nvCxnSpPr>
      <xdr:spPr>
        <a:xfrm>
          <a:off x="0" y="4762500"/>
          <a:ext cx="14970702" cy="9525"/>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0</xdr:colOff>
      <xdr:row>49</xdr:row>
      <xdr:rowOff>0</xdr:rowOff>
    </xdr:from>
    <xdr:to>
      <xdr:col>9</xdr:col>
      <xdr:colOff>1323975</xdr:colOff>
      <xdr:row>49</xdr:row>
      <xdr:rowOff>9525</xdr:rowOff>
    </xdr:to>
    <xdr:cxnSp macro="">
      <xdr:nvCxnSpPr>
        <xdr:cNvPr id="10" name="Straight Connector 9">
          <a:extLst>
            <a:ext uri="{FF2B5EF4-FFF2-40B4-BE49-F238E27FC236}">
              <a16:creationId xmlns:a16="http://schemas.microsoft.com/office/drawing/2014/main" id="{DCE2B5CA-B161-4F08-A4B9-882B1DEF185A}"/>
            </a:ext>
          </a:extLst>
        </xdr:cNvPr>
        <xdr:cNvCxnSpPr/>
      </xdr:nvCxnSpPr>
      <xdr:spPr>
        <a:xfrm>
          <a:off x="0" y="9369136"/>
          <a:ext cx="14970702" cy="9525"/>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271461</xdr:colOff>
      <xdr:row>49</xdr:row>
      <xdr:rowOff>47625</xdr:rowOff>
    </xdr:from>
    <xdr:to>
      <xdr:col>4</xdr:col>
      <xdr:colOff>533401</xdr:colOff>
      <xdr:row>58</xdr:row>
      <xdr:rowOff>133350</xdr:rowOff>
    </xdr:to>
    <xdr:graphicFrame macro="">
      <xdr:nvGraphicFramePr>
        <xdr:cNvPr id="11" name="Chart 10">
          <a:extLst>
            <a:ext uri="{FF2B5EF4-FFF2-40B4-BE49-F238E27FC236}">
              <a16:creationId xmlns:a16="http://schemas.microsoft.com/office/drawing/2014/main" id="{44516ACB-AB0F-FD63-2858-A67EF35BE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438149</xdr:colOff>
      <xdr:row>49</xdr:row>
      <xdr:rowOff>171451</xdr:rowOff>
    </xdr:from>
    <xdr:to>
      <xdr:col>6</xdr:col>
      <xdr:colOff>123824</xdr:colOff>
      <xdr:row>51</xdr:row>
      <xdr:rowOff>38101</xdr:rowOff>
    </xdr:to>
    <xdr:sp macro="" textlink="">
      <xdr:nvSpPr>
        <xdr:cNvPr id="12" name="TextBox 11">
          <a:extLst>
            <a:ext uri="{FF2B5EF4-FFF2-40B4-BE49-F238E27FC236}">
              <a16:creationId xmlns:a16="http://schemas.microsoft.com/office/drawing/2014/main" id="{135E69BA-E478-27D5-A544-2CAB89A373D9}"/>
            </a:ext>
          </a:extLst>
        </xdr:cNvPr>
        <xdr:cNvSpPr txBox="1"/>
      </xdr:nvSpPr>
      <xdr:spPr>
        <a:xfrm>
          <a:off x="7157604" y="9540587"/>
          <a:ext cx="245658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All 370 suppliers</a:t>
          </a:r>
          <a:r>
            <a:rPr lang="en-US" sz="1100" baseline="0"/>
            <a:t> by onboarding stage.</a:t>
          </a:r>
          <a:endParaRPr lang="en-US" sz="1100"/>
        </a:p>
      </xdr:txBody>
    </xdr:sp>
    <xdr:clientData/>
  </xdr:twoCellAnchor>
  <xdr:twoCellAnchor>
    <xdr:from>
      <xdr:col>0</xdr:col>
      <xdr:colOff>0</xdr:colOff>
      <xdr:row>58</xdr:row>
      <xdr:rowOff>0</xdr:rowOff>
    </xdr:from>
    <xdr:to>
      <xdr:col>9</xdr:col>
      <xdr:colOff>1323975</xdr:colOff>
      <xdr:row>58</xdr:row>
      <xdr:rowOff>9525</xdr:rowOff>
    </xdr:to>
    <xdr:cxnSp macro="">
      <xdr:nvCxnSpPr>
        <xdr:cNvPr id="15" name="Straight Connector 14">
          <a:extLst>
            <a:ext uri="{FF2B5EF4-FFF2-40B4-BE49-F238E27FC236}">
              <a16:creationId xmlns:a16="http://schemas.microsoft.com/office/drawing/2014/main" id="{46EE6032-247A-4108-B2DE-F13F35CECC6C}"/>
            </a:ext>
          </a:extLst>
        </xdr:cNvPr>
        <xdr:cNvCxnSpPr/>
      </xdr:nvCxnSpPr>
      <xdr:spPr>
        <a:xfrm>
          <a:off x="0" y="11083636"/>
          <a:ext cx="14970702" cy="9525"/>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8659</xdr:colOff>
      <xdr:row>85</xdr:row>
      <xdr:rowOff>180110</xdr:rowOff>
    </xdr:from>
    <xdr:to>
      <xdr:col>9</xdr:col>
      <xdr:colOff>1332634</xdr:colOff>
      <xdr:row>85</xdr:row>
      <xdr:rowOff>189635</xdr:rowOff>
    </xdr:to>
    <xdr:cxnSp macro="">
      <xdr:nvCxnSpPr>
        <xdr:cNvPr id="16" name="Straight Connector 15">
          <a:extLst>
            <a:ext uri="{FF2B5EF4-FFF2-40B4-BE49-F238E27FC236}">
              <a16:creationId xmlns:a16="http://schemas.microsoft.com/office/drawing/2014/main" id="{6188FE3A-B718-470A-858D-2D09BD595967}"/>
            </a:ext>
          </a:extLst>
        </xdr:cNvPr>
        <xdr:cNvCxnSpPr/>
      </xdr:nvCxnSpPr>
      <xdr:spPr>
        <a:xfrm>
          <a:off x="8659" y="17186565"/>
          <a:ext cx="15204498" cy="9525"/>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386953</xdr:colOff>
      <xdr:row>62</xdr:row>
      <xdr:rowOff>25979</xdr:rowOff>
    </xdr:from>
    <xdr:to>
      <xdr:col>9</xdr:col>
      <xdr:colOff>1301353</xdr:colOff>
      <xdr:row>63</xdr:row>
      <xdr:rowOff>18359</xdr:rowOff>
    </xdr:to>
    <xdr:sp macro="" textlink="">
      <xdr:nvSpPr>
        <xdr:cNvPr id="30" name="Rectangle: Rounded Corners 29">
          <a:extLst>
            <a:ext uri="{FF2B5EF4-FFF2-40B4-BE49-F238E27FC236}">
              <a16:creationId xmlns:a16="http://schemas.microsoft.com/office/drawing/2014/main" id="{9197DED7-C70F-4F21-45F6-E178CA2A917B}"/>
            </a:ext>
          </a:extLst>
        </xdr:cNvPr>
        <xdr:cNvSpPr/>
      </xdr:nvSpPr>
      <xdr:spPr>
        <a:xfrm>
          <a:off x="14033680" y="11923570"/>
          <a:ext cx="914400" cy="182880"/>
        </a:xfrm>
        <a:prstGeom prst="roundRect">
          <a:avLst/>
        </a:prstGeom>
        <a:solidFill>
          <a:srgbClr val="FFC0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2">
                  <a:lumMod val="50000"/>
                </a:schemeClr>
              </a:solidFill>
            </a:rPr>
            <a:t>Delayed</a:t>
          </a:r>
        </a:p>
      </xdr:txBody>
    </xdr:sp>
    <xdr:clientData/>
  </xdr:twoCellAnchor>
  <xdr:twoCellAnchor>
    <xdr:from>
      <xdr:col>9</xdr:col>
      <xdr:colOff>386953</xdr:colOff>
      <xdr:row>59</xdr:row>
      <xdr:rowOff>164525</xdr:rowOff>
    </xdr:from>
    <xdr:to>
      <xdr:col>9</xdr:col>
      <xdr:colOff>1301353</xdr:colOff>
      <xdr:row>60</xdr:row>
      <xdr:rowOff>104950</xdr:rowOff>
    </xdr:to>
    <xdr:sp macro="" textlink="">
      <xdr:nvSpPr>
        <xdr:cNvPr id="31" name="Rectangle: Rounded Corners 30">
          <a:extLst>
            <a:ext uri="{FF2B5EF4-FFF2-40B4-BE49-F238E27FC236}">
              <a16:creationId xmlns:a16="http://schemas.microsoft.com/office/drawing/2014/main" id="{27D94716-F730-94A3-50F5-EEE9B85EE2AE}"/>
            </a:ext>
          </a:extLst>
        </xdr:cNvPr>
        <xdr:cNvSpPr/>
      </xdr:nvSpPr>
      <xdr:spPr>
        <a:xfrm>
          <a:off x="14033680" y="11438661"/>
          <a:ext cx="914400" cy="182880"/>
        </a:xfrm>
        <a:prstGeom prst="roundRect">
          <a:avLst/>
        </a:prstGeom>
        <a:solidFill>
          <a:srgbClr val="FFC0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2">
                  <a:lumMod val="50000"/>
                </a:schemeClr>
              </a:solidFill>
            </a:rPr>
            <a:t>Delayed</a:t>
          </a:r>
        </a:p>
      </xdr:txBody>
    </xdr:sp>
    <xdr:clientData/>
  </xdr:twoCellAnchor>
  <xdr:twoCellAnchor>
    <xdr:from>
      <xdr:col>9</xdr:col>
      <xdr:colOff>386953</xdr:colOff>
      <xdr:row>58</xdr:row>
      <xdr:rowOff>101314</xdr:rowOff>
    </xdr:from>
    <xdr:to>
      <xdr:col>9</xdr:col>
      <xdr:colOff>1301353</xdr:colOff>
      <xdr:row>59</xdr:row>
      <xdr:rowOff>93694</xdr:rowOff>
    </xdr:to>
    <xdr:sp macro="" textlink="">
      <xdr:nvSpPr>
        <xdr:cNvPr id="32" name="Rectangle: Rounded Corners 31">
          <a:extLst>
            <a:ext uri="{FF2B5EF4-FFF2-40B4-BE49-F238E27FC236}">
              <a16:creationId xmlns:a16="http://schemas.microsoft.com/office/drawing/2014/main" id="{E7F9ECCE-473A-2F4B-61D1-ED1EF7456674}"/>
            </a:ext>
          </a:extLst>
        </xdr:cNvPr>
        <xdr:cNvSpPr/>
      </xdr:nvSpPr>
      <xdr:spPr>
        <a:xfrm>
          <a:off x="14033680" y="11184950"/>
          <a:ext cx="914400" cy="182880"/>
        </a:xfrm>
        <a:prstGeom prst="roundRect">
          <a:avLst/>
        </a:prstGeom>
        <a:solidFill>
          <a:srgbClr val="FFC0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2">
                  <a:lumMod val="50000"/>
                </a:schemeClr>
              </a:solidFill>
            </a:rPr>
            <a:t>Delayed</a:t>
          </a:r>
        </a:p>
      </xdr:txBody>
    </xdr:sp>
    <xdr:clientData/>
  </xdr:twoCellAnchor>
  <xdr:twoCellAnchor>
    <xdr:from>
      <xdr:col>9</xdr:col>
      <xdr:colOff>386953</xdr:colOff>
      <xdr:row>60</xdr:row>
      <xdr:rowOff>147207</xdr:rowOff>
    </xdr:from>
    <xdr:to>
      <xdr:col>9</xdr:col>
      <xdr:colOff>1301353</xdr:colOff>
      <xdr:row>61</xdr:row>
      <xdr:rowOff>139587</xdr:rowOff>
    </xdr:to>
    <xdr:sp macro="" textlink="">
      <xdr:nvSpPr>
        <xdr:cNvPr id="33" name="Rectangle: Rounded Corners 32">
          <a:extLst>
            <a:ext uri="{FF2B5EF4-FFF2-40B4-BE49-F238E27FC236}">
              <a16:creationId xmlns:a16="http://schemas.microsoft.com/office/drawing/2014/main" id="{D36B99D5-0718-F857-8F30-427856FCFB09}"/>
            </a:ext>
          </a:extLst>
        </xdr:cNvPr>
        <xdr:cNvSpPr/>
      </xdr:nvSpPr>
      <xdr:spPr>
        <a:xfrm>
          <a:off x="14033680" y="11663798"/>
          <a:ext cx="914400" cy="182880"/>
        </a:xfrm>
        <a:prstGeom prst="roundRect">
          <a:avLst/>
        </a:prstGeom>
        <a:solidFill>
          <a:srgbClr val="007BB8"/>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 EOD</a:t>
          </a:r>
        </a:p>
      </xdr:txBody>
    </xdr:sp>
    <xdr:clientData/>
  </xdr:twoCellAnchor>
  <xdr:twoCellAnchor>
    <xdr:from>
      <xdr:col>9</xdr:col>
      <xdr:colOff>341233</xdr:colOff>
      <xdr:row>66</xdr:row>
      <xdr:rowOff>1</xdr:rowOff>
    </xdr:from>
    <xdr:to>
      <xdr:col>9</xdr:col>
      <xdr:colOff>1347073</xdr:colOff>
      <xdr:row>66</xdr:row>
      <xdr:rowOff>182881</xdr:rowOff>
    </xdr:to>
    <xdr:sp macro="" textlink="">
      <xdr:nvSpPr>
        <xdr:cNvPr id="35" name="Rectangle: Rounded Corners 34">
          <a:extLst>
            <a:ext uri="{FF2B5EF4-FFF2-40B4-BE49-F238E27FC236}">
              <a16:creationId xmlns:a16="http://schemas.microsoft.com/office/drawing/2014/main" id="{C72C0254-1C0F-D63C-BBBE-62E2E204F9F3}"/>
            </a:ext>
          </a:extLst>
        </xdr:cNvPr>
        <xdr:cNvSpPr/>
      </xdr:nvSpPr>
      <xdr:spPr>
        <a:xfrm>
          <a:off x="13987960" y="12659592"/>
          <a:ext cx="1005840" cy="182880"/>
        </a:xfrm>
        <a:prstGeom prst="roundRect">
          <a:avLst/>
        </a:prstGeom>
        <a:solidFill>
          <a:srgbClr val="C000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Poor Comms</a:t>
          </a:r>
        </a:p>
      </xdr:txBody>
    </xdr:sp>
    <xdr:clientData/>
  </xdr:twoCellAnchor>
  <xdr:twoCellAnchor>
    <xdr:from>
      <xdr:col>9</xdr:col>
      <xdr:colOff>386953</xdr:colOff>
      <xdr:row>63</xdr:row>
      <xdr:rowOff>86593</xdr:rowOff>
    </xdr:from>
    <xdr:to>
      <xdr:col>9</xdr:col>
      <xdr:colOff>1301353</xdr:colOff>
      <xdr:row>64</xdr:row>
      <xdr:rowOff>78973</xdr:rowOff>
    </xdr:to>
    <xdr:sp macro="" textlink="">
      <xdr:nvSpPr>
        <xdr:cNvPr id="36" name="Rectangle: Rounded Corners 35">
          <a:extLst>
            <a:ext uri="{FF2B5EF4-FFF2-40B4-BE49-F238E27FC236}">
              <a16:creationId xmlns:a16="http://schemas.microsoft.com/office/drawing/2014/main" id="{FAE7A3FD-F80F-23CE-5559-514B2CD77085}"/>
            </a:ext>
          </a:extLst>
        </xdr:cNvPr>
        <xdr:cNvSpPr/>
      </xdr:nvSpPr>
      <xdr:spPr>
        <a:xfrm>
          <a:off x="14033680" y="12174684"/>
          <a:ext cx="914400" cy="182880"/>
        </a:xfrm>
        <a:prstGeom prst="roundRect">
          <a:avLst/>
        </a:prstGeom>
        <a:solidFill>
          <a:srgbClr val="FFC0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2">
                  <a:lumMod val="50000"/>
                </a:schemeClr>
              </a:solidFill>
            </a:rPr>
            <a:t>Delayed</a:t>
          </a:r>
        </a:p>
      </xdr:txBody>
    </xdr:sp>
    <xdr:clientData/>
  </xdr:twoCellAnchor>
  <xdr:twoCellAnchor>
    <xdr:from>
      <xdr:col>9</xdr:col>
      <xdr:colOff>386953</xdr:colOff>
      <xdr:row>64</xdr:row>
      <xdr:rowOff>147206</xdr:rowOff>
    </xdr:from>
    <xdr:to>
      <xdr:col>9</xdr:col>
      <xdr:colOff>1301353</xdr:colOff>
      <xdr:row>65</xdr:row>
      <xdr:rowOff>139586</xdr:rowOff>
    </xdr:to>
    <xdr:sp macro="" textlink="">
      <xdr:nvSpPr>
        <xdr:cNvPr id="37" name="Rectangle: Rounded Corners 36">
          <a:extLst>
            <a:ext uri="{FF2B5EF4-FFF2-40B4-BE49-F238E27FC236}">
              <a16:creationId xmlns:a16="http://schemas.microsoft.com/office/drawing/2014/main" id="{6139BBCB-733D-6321-FFF3-A6615AAAA8E0}"/>
            </a:ext>
          </a:extLst>
        </xdr:cNvPr>
        <xdr:cNvSpPr/>
      </xdr:nvSpPr>
      <xdr:spPr>
        <a:xfrm>
          <a:off x="14033680" y="12425797"/>
          <a:ext cx="914400" cy="182880"/>
        </a:xfrm>
        <a:prstGeom prst="roundRect">
          <a:avLst/>
        </a:prstGeom>
        <a:solidFill>
          <a:srgbClr val="FFC0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2">
                  <a:lumMod val="50000"/>
                </a:schemeClr>
              </a:solidFill>
            </a:rPr>
            <a:t>Delayed</a:t>
          </a:r>
        </a:p>
      </xdr:txBody>
    </xdr:sp>
    <xdr:clientData/>
  </xdr:twoCellAnchor>
  <xdr:twoCellAnchor>
    <xdr:from>
      <xdr:col>9</xdr:col>
      <xdr:colOff>341233</xdr:colOff>
      <xdr:row>68</xdr:row>
      <xdr:rowOff>129887</xdr:rowOff>
    </xdr:from>
    <xdr:to>
      <xdr:col>9</xdr:col>
      <xdr:colOff>1347073</xdr:colOff>
      <xdr:row>69</xdr:row>
      <xdr:rowOff>122267</xdr:rowOff>
    </xdr:to>
    <xdr:sp macro="" textlink="">
      <xdr:nvSpPr>
        <xdr:cNvPr id="38" name="Rectangle: Rounded Corners 37">
          <a:extLst>
            <a:ext uri="{FF2B5EF4-FFF2-40B4-BE49-F238E27FC236}">
              <a16:creationId xmlns:a16="http://schemas.microsoft.com/office/drawing/2014/main" id="{1BAA64C0-A8C7-7D4B-3706-9AB57629072A}"/>
            </a:ext>
          </a:extLst>
        </xdr:cNvPr>
        <xdr:cNvSpPr/>
      </xdr:nvSpPr>
      <xdr:spPr>
        <a:xfrm>
          <a:off x="13987960" y="13170478"/>
          <a:ext cx="1005840" cy="182880"/>
        </a:xfrm>
        <a:prstGeom prst="roundRect">
          <a:avLst/>
        </a:prstGeom>
        <a:solidFill>
          <a:srgbClr val="C000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Poor Comms</a:t>
          </a:r>
        </a:p>
      </xdr:txBody>
    </xdr:sp>
    <xdr:clientData/>
  </xdr:twoCellAnchor>
  <xdr:twoCellAnchor>
    <xdr:from>
      <xdr:col>9</xdr:col>
      <xdr:colOff>386953</xdr:colOff>
      <xdr:row>67</xdr:row>
      <xdr:rowOff>69275</xdr:rowOff>
    </xdr:from>
    <xdr:to>
      <xdr:col>9</xdr:col>
      <xdr:colOff>1301353</xdr:colOff>
      <xdr:row>68</xdr:row>
      <xdr:rowOff>61655</xdr:rowOff>
    </xdr:to>
    <xdr:sp macro="" textlink="">
      <xdr:nvSpPr>
        <xdr:cNvPr id="39" name="Rectangle: Rounded Corners 38">
          <a:extLst>
            <a:ext uri="{FF2B5EF4-FFF2-40B4-BE49-F238E27FC236}">
              <a16:creationId xmlns:a16="http://schemas.microsoft.com/office/drawing/2014/main" id="{78169038-3B67-8D34-6820-0939D80EA736}"/>
            </a:ext>
          </a:extLst>
        </xdr:cNvPr>
        <xdr:cNvSpPr/>
      </xdr:nvSpPr>
      <xdr:spPr>
        <a:xfrm>
          <a:off x="14033680" y="12919366"/>
          <a:ext cx="914400" cy="182880"/>
        </a:xfrm>
        <a:prstGeom prst="roundRect">
          <a:avLst/>
        </a:prstGeom>
        <a:solidFill>
          <a:srgbClr val="FFC0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2">
                  <a:lumMod val="50000"/>
                </a:schemeClr>
              </a:solidFill>
            </a:rPr>
            <a:t>Delayed</a:t>
          </a:r>
        </a:p>
      </xdr:txBody>
    </xdr:sp>
    <xdr:clientData/>
  </xdr:twoCellAnchor>
  <xdr:twoCellAnchor>
    <xdr:from>
      <xdr:col>9</xdr:col>
      <xdr:colOff>386953</xdr:colOff>
      <xdr:row>70</xdr:row>
      <xdr:rowOff>8661</xdr:rowOff>
    </xdr:from>
    <xdr:to>
      <xdr:col>9</xdr:col>
      <xdr:colOff>1301353</xdr:colOff>
      <xdr:row>71</xdr:row>
      <xdr:rowOff>1041</xdr:rowOff>
    </xdr:to>
    <xdr:sp macro="" textlink="">
      <xdr:nvSpPr>
        <xdr:cNvPr id="41" name="Rectangle: Rounded Corners 40">
          <a:extLst>
            <a:ext uri="{FF2B5EF4-FFF2-40B4-BE49-F238E27FC236}">
              <a16:creationId xmlns:a16="http://schemas.microsoft.com/office/drawing/2014/main" id="{30A25A36-4060-51AA-6EDF-CECDF55E794E}"/>
            </a:ext>
          </a:extLst>
        </xdr:cNvPr>
        <xdr:cNvSpPr/>
      </xdr:nvSpPr>
      <xdr:spPr>
        <a:xfrm>
          <a:off x="14033680" y="13430252"/>
          <a:ext cx="914400" cy="182880"/>
        </a:xfrm>
        <a:prstGeom prst="roundRect">
          <a:avLst/>
        </a:prstGeom>
        <a:solidFill>
          <a:srgbClr val="FFC0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2">
                  <a:lumMod val="50000"/>
                </a:schemeClr>
              </a:solidFill>
            </a:rPr>
            <a:t>Delayed</a:t>
          </a:r>
        </a:p>
      </xdr:txBody>
    </xdr:sp>
    <xdr:clientData/>
  </xdr:twoCellAnchor>
  <xdr:twoCellAnchor>
    <xdr:from>
      <xdr:col>0</xdr:col>
      <xdr:colOff>34636</xdr:colOff>
      <xdr:row>71</xdr:row>
      <xdr:rowOff>129886</xdr:rowOff>
    </xdr:from>
    <xdr:to>
      <xdr:col>9</xdr:col>
      <xdr:colOff>1358611</xdr:colOff>
      <xdr:row>71</xdr:row>
      <xdr:rowOff>139411</xdr:rowOff>
    </xdr:to>
    <xdr:cxnSp macro="">
      <xdr:nvCxnSpPr>
        <xdr:cNvPr id="42" name="Straight Connector 41">
          <a:extLst>
            <a:ext uri="{FF2B5EF4-FFF2-40B4-BE49-F238E27FC236}">
              <a16:creationId xmlns:a16="http://schemas.microsoft.com/office/drawing/2014/main" id="{DCD3AE16-76D4-4C2E-A53C-8280E600CD73}"/>
            </a:ext>
          </a:extLst>
        </xdr:cNvPr>
        <xdr:cNvCxnSpPr/>
      </xdr:nvCxnSpPr>
      <xdr:spPr>
        <a:xfrm>
          <a:off x="34636" y="13741977"/>
          <a:ext cx="14970702" cy="9525"/>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1783772</xdr:colOff>
      <xdr:row>93</xdr:row>
      <xdr:rowOff>18183</xdr:rowOff>
    </xdr:from>
    <xdr:to>
      <xdr:col>6</xdr:col>
      <xdr:colOff>363682</xdr:colOff>
      <xdr:row>102</xdr:row>
      <xdr:rowOff>112567</xdr:rowOff>
    </xdr:to>
    <xdr:graphicFrame macro="">
      <xdr:nvGraphicFramePr>
        <xdr:cNvPr id="43" name="Chart 42">
          <a:extLst>
            <a:ext uri="{FF2B5EF4-FFF2-40B4-BE49-F238E27FC236}">
              <a16:creationId xmlns:a16="http://schemas.microsoft.com/office/drawing/2014/main" id="{B2AB72D8-6CA2-0029-1B6F-A3A46464E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1460975</xdr:colOff>
      <xdr:row>1</xdr:row>
      <xdr:rowOff>9526</xdr:rowOff>
    </xdr:from>
    <xdr:to>
      <xdr:col>5</xdr:col>
      <xdr:colOff>-1</xdr:colOff>
      <xdr:row>10</xdr:row>
      <xdr:rowOff>1591</xdr:rowOff>
    </xdr:to>
    <xdr:pic>
      <xdr:nvPicPr>
        <xdr:cNvPr id="14" name="Picture 13">
          <a:extLst>
            <a:ext uri="{FF2B5EF4-FFF2-40B4-BE49-F238E27FC236}">
              <a16:creationId xmlns:a16="http://schemas.microsoft.com/office/drawing/2014/main" id="{46157B49-F9BD-7866-C9B9-C9F5FE9A3D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0975" y="200026"/>
          <a:ext cx="5992337" cy="170656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76200" dir="18900000" sy="23000" kx="-1200000" algn="bl" rotWithShape="0">
            <a:prstClr val="black">
              <a:alpha val="20000"/>
            </a:prstClr>
          </a:outerShdw>
          <a:softEdge rad="31750"/>
        </a:effectLst>
      </xdr:spPr>
    </xdr:pic>
    <xdr:clientData/>
  </xdr:twoCellAnchor>
  <xdr:twoCellAnchor editAs="oneCell">
    <xdr:from>
      <xdr:col>5</xdr:col>
      <xdr:colOff>904875</xdr:colOff>
      <xdr:row>0</xdr:row>
      <xdr:rowOff>150017</xdr:rowOff>
    </xdr:from>
    <xdr:to>
      <xdr:col>10</xdr:col>
      <xdr:colOff>1138238</xdr:colOff>
      <xdr:row>14</xdr:row>
      <xdr:rowOff>113875</xdr:rowOff>
    </xdr:to>
    <xdr:pic>
      <xdr:nvPicPr>
        <xdr:cNvPr id="23" name="Picture 22">
          <a:extLst>
            <a:ext uri="{FF2B5EF4-FFF2-40B4-BE49-F238E27FC236}">
              <a16:creationId xmlns:a16="http://schemas.microsoft.com/office/drawing/2014/main" id="{B633D305-AD47-EE9E-EF84-08659A272E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58188" y="150017"/>
          <a:ext cx="8662988" cy="2630858"/>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76200" dir="18900000" sy="23000" kx="-1200000" algn="bl" rotWithShape="0">
            <a:prstClr val="black">
              <a:alpha val="20000"/>
            </a:prstClr>
          </a:outerShdw>
          <a:softEdge rad="31750"/>
        </a:effectLst>
      </xdr:spPr>
    </xdr:pic>
    <xdr:clientData/>
  </xdr:twoCellAnchor>
  <xdr:twoCellAnchor>
    <xdr:from>
      <xdr:col>0</xdr:col>
      <xdr:colOff>1428750</xdr:colOff>
      <xdr:row>10</xdr:row>
      <xdr:rowOff>107155</xdr:rowOff>
    </xdr:from>
    <xdr:to>
      <xdr:col>2</xdr:col>
      <xdr:colOff>2238375</xdr:colOff>
      <xdr:row>15</xdr:row>
      <xdr:rowOff>59530</xdr:rowOff>
    </xdr:to>
    <xdr:sp macro="" textlink="">
      <xdr:nvSpPr>
        <xdr:cNvPr id="27" name="TextBox 26">
          <a:extLst>
            <a:ext uri="{FF2B5EF4-FFF2-40B4-BE49-F238E27FC236}">
              <a16:creationId xmlns:a16="http://schemas.microsoft.com/office/drawing/2014/main" id="{1011263C-5F1B-4399-8DF1-1025B89FE154}"/>
            </a:ext>
          </a:extLst>
        </xdr:cNvPr>
        <xdr:cNvSpPr txBox="1"/>
      </xdr:nvSpPr>
      <xdr:spPr>
        <a:xfrm>
          <a:off x="1428750" y="2012155"/>
          <a:ext cx="3178969" cy="90487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76200" dir="18900000" sy="23000" kx="-1200000" algn="bl" rotWithShape="0">
            <a:prstClr val="black">
              <a:alpha val="20000"/>
            </a:prstClr>
          </a:outerShdw>
          <a:softEdge rad="3175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buNone/>
          </a:pPr>
          <a:r>
            <a:rPr lang="en-US" sz="1200" b="1" i="0" u="none" strike="noStrike">
              <a:solidFill>
                <a:srgbClr val="C00000"/>
              </a:solidFill>
              <a:effectLst/>
              <a:latin typeface="Calibri" panose="020F0502020204030204" pitchFamily="34" charset="0"/>
            </a:rPr>
            <a:t>Client</a:t>
          </a:r>
          <a:r>
            <a:rPr lang="en-US" sz="1200" b="1" i="0" u="none" strike="noStrike">
              <a:solidFill>
                <a:srgbClr val="000000"/>
              </a:solidFill>
              <a:effectLst/>
              <a:latin typeface="Calibri" panose="020F0502020204030204" pitchFamily="34" charset="0"/>
            </a:rPr>
            <a:t>: Crypto.com Arena</a:t>
          </a:r>
          <a:r>
            <a:rPr lang="en-US" sz="1200">
              <a:effectLst/>
            </a:rPr>
            <a:t> </a:t>
          </a:r>
        </a:p>
        <a:p>
          <a:pPr>
            <a:buNone/>
          </a:pPr>
          <a:r>
            <a:rPr lang="en-US" sz="1200" b="1" i="0" u="none" strike="noStrike">
              <a:solidFill>
                <a:srgbClr val="C00000"/>
              </a:solidFill>
              <a:effectLst/>
              <a:latin typeface="Calibri" panose="020F0502020204030204" pitchFamily="34" charset="0"/>
            </a:rPr>
            <a:t>Location</a:t>
          </a:r>
          <a:r>
            <a:rPr lang="en-US" sz="1200" b="1" i="0" u="none" strike="noStrike">
              <a:solidFill>
                <a:srgbClr val="000000"/>
              </a:solidFill>
              <a:effectLst/>
              <a:latin typeface="Calibri" panose="020F0502020204030204" pitchFamily="34" charset="0"/>
            </a:rPr>
            <a:t>: Los Angles, CA </a:t>
          </a:r>
          <a:r>
            <a:rPr lang="en-US" sz="1200">
              <a:effectLst/>
            </a:rPr>
            <a:t> </a:t>
          </a:r>
        </a:p>
        <a:p>
          <a:pPr>
            <a:buNone/>
          </a:pPr>
          <a:r>
            <a:rPr lang="en-US" sz="1200" b="1" i="0" u="none" strike="noStrike">
              <a:solidFill>
                <a:srgbClr val="C00000"/>
              </a:solidFill>
              <a:effectLst/>
              <a:latin typeface="Calibri" panose="020F0502020204030204" pitchFamily="34" charset="0"/>
            </a:rPr>
            <a:t>Vendor/Supplier count</a:t>
          </a:r>
          <a:r>
            <a:rPr lang="en-US" sz="1200" b="1" i="0" u="none" strike="noStrike">
              <a:solidFill>
                <a:srgbClr val="000000"/>
              </a:solidFill>
              <a:effectLst/>
              <a:latin typeface="Calibri" panose="020F0502020204030204" pitchFamily="34" charset="0"/>
            </a:rPr>
            <a:t>: 400</a:t>
          </a:r>
          <a:r>
            <a:rPr lang="en-US" sz="1200">
              <a:effectLst/>
            </a:rPr>
            <a:t> </a:t>
          </a:r>
        </a:p>
        <a:p>
          <a:pPr>
            <a:buNone/>
          </a:pPr>
          <a:r>
            <a:rPr lang="en-US" sz="1200" b="1">
              <a:solidFill>
                <a:srgbClr val="C00000"/>
              </a:solidFill>
              <a:effectLst/>
            </a:rPr>
            <a:t>Facility Sq. Footage</a:t>
          </a:r>
          <a:r>
            <a:rPr lang="en-US" sz="1200">
              <a:effectLst/>
            </a:rPr>
            <a:t>: </a:t>
          </a:r>
          <a:r>
            <a:rPr lang="en-US" sz="1200" b="1">
              <a:effectLst/>
            </a:rPr>
            <a:t>950,000 sq. ft.</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1104900</xdr:colOff>
      <xdr:row>2</xdr:row>
      <xdr:rowOff>66675</xdr:rowOff>
    </xdr:from>
    <xdr:to>
      <xdr:col>12</xdr:col>
      <xdr:colOff>1133475</xdr:colOff>
      <xdr:row>15</xdr:row>
      <xdr:rowOff>0</xdr:rowOff>
    </xdr:to>
    <xdr:cxnSp macro="">
      <xdr:nvCxnSpPr>
        <xdr:cNvPr id="3" name="Straight Connector 2">
          <a:extLst>
            <a:ext uri="{FF2B5EF4-FFF2-40B4-BE49-F238E27FC236}">
              <a16:creationId xmlns:a16="http://schemas.microsoft.com/office/drawing/2014/main" id="{F38A7928-6411-4198-F838-99B77557CA6D}"/>
            </a:ext>
          </a:extLst>
        </xdr:cNvPr>
        <xdr:cNvCxnSpPr/>
      </xdr:nvCxnSpPr>
      <xdr:spPr>
        <a:xfrm>
          <a:off x="11887200" y="447675"/>
          <a:ext cx="28575" cy="2409825"/>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jw38\Downloads\Data%20Anylst\DA_case%20study_portfolio%20content\coordinator_notes.xlsx" TargetMode="External"/><Relationship Id="rId1" Type="http://schemas.openxmlformats.org/officeDocument/2006/relationships/externalLinkPath" Target="coordinator_no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ordinator Notes"/>
    </sheetNames>
    <sheetDataSet>
      <sheetData sheetId="0">
        <row r="1">
          <cell r="B1" t="str">
            <v>Company ID</v>
          </cell>
          <cell r="C1" t="str">
            <v>Vendor Note</v>
          </cell>
          <cell r="D1" t="str">
            <v>Note Type</v>
          </cell>
        </row>
        <row r="2">
          <cell r="B2">
            <v>888377</v>
          </cell>
          <cell r="C2" t="str">
            <v>Everything is in — the W-9 arrived this Monday and matched our records. Contact was proactive throughout. Onboarding complete.</v>
          </cell>
          <cell r="D2" t="str">
            <v>Completion</v>
          </cell>
        </row>
        <row r="3">
          <cell r="B3">
            <v>257122</v>
          </cell>
          <cell r="C3" t="str">
            <v>All three required documents were approved on first pass, the COI included. The Certificate of Insurance names the arena as additional insured, as required. Vendor is good to go.</v>
          </cell>
          <cell r="D3" t="str">
            <v>Completion</v>
          </cell>
        </row>
        <row r="4">
          <cell r="B4">
            <v>626279</v>
          </cell>
          <cell r="C4" t="str">
            <v>Packet complete after the COI was uploaded, closing the final open item. Documents were cross-checked against contract requirements and approved. Vendor moved to active status.</v>
          </cell>
          <cell r="D4" t="str">
            <v>Completion</v>
          </cell>
        </row>
        <row r="5">
          <cell r="B5">
            <v>573149</v>
          </cell>
          <cell r="C5" t="str">
            <v>Confirmed all required paperwork on file once the W-9 came through the portal. Insurance limits and tax details verified. Onboarding closed out.</v>
          </cell>
          <cell r="D5" t="str">
            <v>Completion</v>
          </cell>
        </row>
        <row r="6">
          <cell r="B6">
            <v>974045</v>
          </cell>
          <cell r="C6" t="str">
            <v>All three required documents were approved on first pass, the W-9 included. The Certificate of Insurance names the arena as additional insured, as required. Vendor is good to go.</v>
          </cell>
          <cell r="D6" t="str">
            <v>Completion</v>
          </cell>
        </row>
        <row r="7">
          <cell r="B7">
            <v>778636</v>
          </cell>
          <cell r="C7" t="str">
            <v>Packet complete after the Spend authorization was uploaded, closing the final open item. Documents were cross-checked against contract requirements and approved. Vendor moved to active status.</v>
          </cell>
          <cell r="D7" t="str">
            <v>Completion</v>
          </cell>
        </row>
        <row r="8">
          <cell r="B8">
            <v>580486</v>
          </cell>
          <cell r="C8" t="str">
            <v>All onboarding documents — COI, W-9, and Spend authorization — are received and verified, with the W-9 arriving last. Compliance review passed with no exceptions. Vendor is fully onboarded and cleared for service.</v>
          </cell>
          <cell r="D8" t="str">
            <v>Completion</v>
          </cell>
        </row>
        <row r="9">
          <cell r="B9">
            <v>883864</v>
          </cell>
          <cell r="C9" t="str">
            <v>All onboarding documents — COI, W-9, and Spend authorization — are received and verified, with the COI arriving last. Compliance review passed with no exceptions. Vendor is fully onboarded and cleared for service.</v>
          </cell>
          <cell r="D9" t="str">
            <v>Completion</v>
          </cell>
        </row>
        <row r="10">
          <cell r="B10">
            <v>730226</v>
          </cell>
          <cell r="C10" t="str">
            <v>Received and accepted the COI, closing out the packet. No exceptions in compliance review. Vendor status set to active.</v>
          </cell>
          <cell r="D10" t="str">
            <v>Completion</v>
          </cell>
        </row>
        <row r="11">
          <cell r="B11">
            <v>906908</v>
          </cell>
          <cell r="C11" t="str">
            <v>Packet complete after the Spend authorization was uploaded, closing the final open item. Documents were cross-checked against contract requirements and approved. Vendor moved to active status.</v>
          </cell>
          <cell r="D11" t="str">
            <v>Completion</v>
          </cell>
        </row>
        <row r="12">
          <cell r="B12">
            <v>261365</v>
          </cell>
          <cell r="C12" t="str">
            <v>Onboarding finalized after a short verification call this Tuesday. Every document is signed, dated, and on file. Ready for service assignment.</v>
          </cell>
          <cell r="D12" t="str">
            <v>Completion</v>
          </cell>
        </row>
        <row r="13">
          <cell r="B13">
            <v>974302</v>
          </cell>
          <cell r="C13" t="str">
            <v>All three required documents were approved on first pass, the Spend authorization included. The Certificate of Insurance names the arena as additional insured, as required. Vendor is good to go.</v>
          </cell>
          <cell r="D13" t="str">
            <v>Completion</v>
          </cell>
        </row>
        <row r="14">
          <cell r="B14">
            <v>508260</v>
          </cell>
          <cell r="C14" t="str">
            <v>Received and accepted the COI, closing out the packet. No exceptions in compliance review. Vendor status set to active.</v>
          </cell>
          <cell r="D14" t="str">
            <v>Completion</v>
          </cell>
        </row>
        <row r="15">
          <cell r="B15">
            <v>921494</v>
          </cell>
          <cell r="C15" t="str">
            <v>Received and accepted the COI, closing out the packet. No exceptions in compliance review. Vendor status set to active.</v>
          </cell>
          <cell r="D15" t="str">
            <v>Completion</v>
          </cell>
        </row>
        <row r="16">
          <cell r="B16">
            <v>983322</v>
          </cell>
          <cell r="C16" t="str">
            <v>Received and accepted the Spend authorization, closing out the packet. No exceptions in compliance review. Vendor status set to active.</v>
          </cell>
          <cell r="D16" t="str">
            <v>Completion</v>
          </cell>
        </row>
        <row r="17">
          <cell r="B17">
            <v>432039</v>
          </cell>
          <cell r="C17" t="str">
            <v>Received and accepted the W-9, closing out the packet. No exceptions in compliance review. Vendor status set to active.</v>
          </cell>
          <cell r="D17" t="str">
            <v>Completion</v>
          </cell>
        </row>
        <row r="18">
          <cell r="B18">
            <v>121464</v>
          </cell>
          <cell r="C18" t="str">
            <v>The spend authorization was the last piece and it cleared review this Thursday. COI, W-9, and Spend authorization are all validated. Vendor activated and notified.</v>
          </cell>
          <cell r="D18" t="str">
            <v>Completion</v>
          </cell>
        </row>
        <row r="19">
          <cell r="B19">
            <v>291314</v>
          </cell>
          <cell r="C19" t="str">
            <v>All onboarding documents — COI, W-9, and Spend authorization — are received and verified, with the COI arriving last. Compliance review passed with no exceptions. Vendor is fully onboarded and cleared for service.</v>
          </cell>
          <cell r="D19" t="str">
            <v>Completion</v>
          </cell>
        </row>
        <row r="20">
          <cell r="B20">
            <v>966305</v>
          </cell>
          <cell r="C20" t="str">
            <v>Received and accepted the W-9, closing out the packet. No exceptions in compliance review. Vendor status set to active.</v>
          </cell>
          <cell r="D20" t="str">
            <v>Completion</v>
          </cell>
        </row>
        <row r="21">
          <cell r="B21">
            <v>494271</v>
          </cell>
          <cell r="C21" t="str">
            <v>Full document set received and reconciled against the master vendor record; the W-9 needed a quick correction, now resolved. No further discrepancies found. Onboarding officially complete.</v>
          </cell>
          <cell r="D21" t="str">
            <v>Completion</v>
          </cell>
        </row>
        <row r="22">
          <cell r="B22">
            <v>296292</v>
          </cell>
          <cell r="C22" t="str">
            <v>Received and accepted the Spend authorization, closing out the packet. No exceptions in compliance review. Vendor status set to active.</v>
          </cell>
          <cell r="D22" t="str">
            <v>Completion</v>
          </cell>
        </row>
        <row r="23">
          <cell r="B23">
            <v>595959</v>
          </cell>
          <cell r="C23" t="str">
            <v>Packet complete after the W-9 was uploaded, closing the final open item. Documents were cross-checked against contract requirements and approved. Vendor moved to active status.</v>
          </cell>
          <cell r="D23" t="str">
            <v>Completion</v>
          </cell>
        </row>
        <row r="24">
          <cell r="B24">
            <v>947244</v>
          </cell>
          <cell r="C24" t="str">
            <v>Confirmed all required paperwork on file once the W-9 came through the portal. Insurance limits and tax details verified. Onboarding closed out.</v>
          </cell>
          <cell r="D24" t="str">
            <v>Completion</v>
          </cell>
        </row>
        <row r="25">
          <cell r="B25">
            <v>279027</v>
          </cell>
          <cell r="C25" t="str">
            <v>Full document set received and reconciled against the master vendor record; the W-9 needed a quick correction, now resolved. No further discrepancies found. Onboarding officially complete.</v>
          </cell>
          <cell r="D25" t="str">
            <v>Completion</v>
          </cell>
        </row>
        <row r="26">
          <cell r="B26">
            <v>771982</v>
          </cell>
          <cell r="C26" t="str">
            <v>Full document set received and reconciled against the master vendor record; the Spend authorization needed a quick correction, now resolved. No further discrepancies found. Onboarding officially complete.</v>
          </cell>
          <cell r="D26" t="str">
            <v>Completion</v>
          </cell>
        </row>
        <row r="27">
          <cell r="B27">
            <v>803052</v>
          </cell>
          <cell r="C27" t="str">
            <v>All onboarding documents — COI, W-9, and Spend authorization — are received and verified, with the W-9 arriving last. Compliance review passed with no exceptions. Vendor is fully onboarded and cleared for service.</v>
          </cell>
          <cell r="D27" t="str">
            <v>Completion</v>
          </cell>
        </row>
        <row r="28">
          <cell r="B28">
            <v>942580</v>
          </cell>
          <cell r="C28" t="str">
            <v>All three required documents were approved on first pass, the COI included. The Certificate of Insurance names the arena as additional insured, as required. Vendor is good to go.</v>
          </cell>
          <cell r="D28" t="str">
            <v>Completion</v>
          </cell>
        </row>
        <row r="29">
          <cell r="B29">
            <v>622668</v>
          </cell>
          <cell r="C29" t="str">
            <v>Full document set received and reconciled against the master vendor record; the W-9 needed a quick correction, now resolved. No further discrepancies found. Onboarding officially complete.</v>
          </cell>
          <cell r="D29" t="str">
            <v>Completion</v>
          </cell>
        </row>
        <row r="30">
          <cell r="B30">
            <v>672316</v>
          </cell>
          <cell r="C30" t="str">
            <v>Full document set received and reconciled against the master vendor record; the Spend authorization needed a quick correction, now resolved. No further discrepancies found. Onboarding officially complete.</v>
          </cell>
          <cell r="D30" t="str">
            <v>Completion</v>
          </cell>
        </row>
        <row r="31">
          <cell r="B31">
            <v>308448</v>
          </cell>
          <cell r="C31" t="str">
            <v>All onboarding documents — COI, W-9, and Spend authorization — are received and verified, with the COI arriving last. Compliance review passed with no exceptions. Vendor is fully onboarded and cleared for service.</v>
          </cell>
          <cell r="D31" t="str">
            <v>Completion</v>
          </cell>
        </row>
        <row r="32">
          <cell r="B32">
            <v>207559</v>
          </cell>
          <cell r="C32" t="str">
            <v>Good progress — the COI and the Spend authorization confirmed and filed. The w-9 sits in the vendor's internal approval queue, expected by Monday. No concerns yet.</v>
          </cell>
          <cell r="D32" t="str">
            <v>Received</v>
          </cell>
        </row>
        <row r="33">
          <cell r="B33">
            <v>340047</v>
          </cell>
          <cell r="C33" t="str">
            <v>First batch received: the COI and the Spend authorization logged and approved. Still awaiting the W-9. Contact committed to finishing by next week.</v>
          </cell>
          <cell r="D33" t="str">
            <v>Received</v>
          </cell>
        </row>
        <row r="34">
          <cell r="B34">
            <v>521473</v>
          </cell>
          <cell r="C34" t="str">
            <v>First batch received: the W-9 and the Spend authorization logged and approved. Still awaiting the COI. Contact committed to finishing by Monday.</v>
          </cell>
          <cell r="D34" t="str">
            <v>Received</v>
          </cell>
        </row>
        <row r="35">
          <cell r="B35">
            <v>834744</v>
          </cell>
          <cell r="C35" t="str">
            <v>The spend authorization received and verified; the W-9 and the COI still outstanding. Contact confirmed the remainder will be submitted by Tuesday. Following up then.</v>
          </cell>
          <cell r="D35" t="str">
            <v>Received</v>
          </cell>
        </row>
        <row r="36">
          <cell r="B36">
            <v>766274</v>
          </cell>
          <cell r="C36" t="str">
            <v>Contact uploaded the COI and the Spend authorization; the W-9 to follow once signed. Communication has been solid. Next check-in next week.</v>
          </cell>
          <cell r="D36" t="str">
            <v>Received</v>
          </cell>
        </row>
        <row r="37">
          <cell r="B37">
            <v>753622</v>
          </cell>
          <cell r="C37" t="str">
            <v>Partial packet in — the W-9 and the Spend authorization on file and within requirements. Awaiting the COI from the vendor's team. Reminder set for next week.</v>
          </cell>
          <cell r="D37" t="str">
            <v>Received</v>
          </cell>
        </row>
        <row r="38">
          <cell r="B38">
            <v>796147</v>
          </cell>
          <cell r="C38" t="str">
            <v>The coi received and verified; the W-9 and the Spend authorization still outstanding. Contact confirmed the remainder will be submitted by Friday. Following up then.</v>
          </cell>
          <cell r="D38" t="str">
            <v>Received</v>
          </cell>
        </row>
        <row r="39">
          <cell r="B39">
            <v>247732</v>
          </cell>
          <cell r="C39" t="str">
            <v>Good progress — the W-9 and the Spend authorization confirmed and filed. The coi sits in the vendor's internal approval queue, expected by Friday. No concerns yet.</v>
          </cell>
          <cell r="D39" t="str">
            <v>Received</v>
          </cell>
        </row>
        <row r="40">
          <cell r="B40">
            <v>197642</v>
          </cell>
          <cell r="C40" t="str">
            <v>Progressing well: the W-9 and the Spend authorization accepted and logged. Outstanding item is the COI, which the contact expects by Thursday. Steady communication.</v>
          </cell>
          <cell r="D40" t="str">
            <v>Received</v>
          </cell>
        </row>
        <row r="41">
          <cell r="B41">
            <v>382104</v>
          </cell>
          <cell r="C41" t="str">
            <v>Good progress — the COI and the W-9 confirmed and filed. The spend authorization sits in the vendor's internal approval queue, expected by Monday. No concerns yet.</v>
          </cell>
          <cell r="D41" t="str">
            <v>Received</v>
          </cell>
        </row>
        <row r="42">
          <cell r="B42">
            <v>605468</v>
          </cell>
          <cell r="C42" t="str">
            <v>Partial packet in — the W-9 on file and within requirements. Awaiting the Spend authorization and the COI from the vendor's team. Reminder set for Wednesday.</v>
          </cell>
          <cell r="D42" t="str">
            <v>Received</v>
          </cell>
        </row>
        <row r="43">
          <cell r="B43">
            <v>408673</v>
          </cell>
          <cell r="C43" t="str">
            <v>Good progress — the COI confirmed and filed. The w-9 and the spend authorization sits in the vendor's internal approval queue, expected by Friday. No concerns yet.</v>
          </cell>
          <cell r="D43" t="str">
            <v>Received</v>
          </cell>
        </row>
        <row r="44">
          <cell r="B44">
            <v>757111</v>
          </cell>
          <cell r="C44" t="str">
            <v>The coi pushed back owing to a pending budget approval on the vendor's end. The rest of the packet is fine. Expecting resolution by Thursday.</v>
          </cell>
          <cell r="D44" t="str">
            <v>Delayed</v>
          </cell>
        </row>
        <row r="45">
          <cell r="B45">
            <v>579886</v>
          </cell>
          <cell r="C45" t="str">
            <v>Documents delayed — a processing backlog cited by their broker. Contact confirmed the item is in progress. Monitoring and following up Friday.</v>
          </cell>
          <cell r="D45" t="str">
            <v>Delayed</v>
          </cell>
        </row>
        <row r="46">
          <cell r="B46">
            <v>573768</v>
          </cell>
          <cell r="C46" t="str">
            <v>The coi is delayed due to a pending budget approval on the vendor's end. A short extension was granted and acknowledged. Will re-check status by Monday.</v>
          </cell>
          <cell r="D46" t="str">
            <v>Delayed</v>
          </cell>
        </row>
        <row r="47">
          <cell r="B47">
            <v>535932</v>
          </cell>
          <cell r="C47" t="str">
            <v>The w-9 held up because of a pending budget approval on the vendor's end. Contact is actively working it and apologized for the lag. New target is Thursday.</v>
          </cell>
          <cell r="D47" t="str">
            <v>Delayed</v>
          </cell>
        </row>
        <row r="48">
          <cell r="B48">
            <v>838171</v>
          </cell>
          <cell r="C48" t="str">
            <v>The spend authorization is delayed due to a corporate reorganization reassigning document ownership. A short extension was granted and acknowledged. Will re-check status by Thursday.</v>
          </cell>
          <cell r="D48" t="str">
            <v>Delayed</v>
          </cell>
        </row>
        <row r="49">
          <cell r="B49">
            <v>778285</v>
          </cell>
          <cell r="C49" t="str">
            <v>The spend authorization is delayed due to an internal signature backlog on the vendor's side. A short extension was granted and acknowledged. Will re-check status by Wednesday.</v>
          </cell>
          <cell r="D49" t="str">
            <v>Delayed</v>
          </cell>
        </row>
        <row r="50">
          <cell r="B50">
            <v>894465</v>
          </cell>
          <cell r="C50" t="str">
            <v>The spend authorization held up because of a vendor-side system migration that temporarily locked their files. Contact is actively working it and apologized for the lag. New target is Friday.</v>
          </cell>
          <cell r="D50" t="str">
            <v>Delayed</v>
          </cell>
        </row>
        <row r="51">
          <cell r="B51">
            <v>630955</v>
          </cell>
          <cell r="C51" t="str">
            <v>Documents delayed — an unexpected staffing gap after the contact went on leave. Contact confirmed the item is in progress. Monitoring and following up Wednesday.</v>
          </cell>
          <cell r="D51" t="str">
            <v>Delayed</v>
          </cell>
        </row>
        <row r="52">
          <cell r="B52">
            <v>112046</v>
          </cell>
          <cell r="C52" t="str">
            <v>The coi held up because of a legal entity name change working through their system. Contact is actively working it and apologized for the lag. New target is Tuesday.</v>
          </cell>
          <cell r="D52" t="str">
            <v>Delayed</v>
          </cell>
        </row>
        <row r="53">
          <cell r="B53">
            <v>566178</v>
          </cell>
          <cell r="C53" t="str">
            <v>Documents delayed — a processing backlog cited by their broker. Contact confirmed the item is in progress. Monitoring and following up Tuesday.</v>
          </cell>
          <cell r="D53" t="str">
            <v>Delayed</v>
          </cell>
        </row>
        <row r="54">
          <cell r="B54">
            <v>957873</v>
          </cell>
          <cell r="C54" t="str">
            <v>Documents delayed — an insurance renewal still in process. Contact confirmed the item is in progress. Monitoring and following up Wednesday.</v>
          </cell>
          <cell r="D54" t="str">
            <v>Delayed</v>
          </cell>
        </row>
        <row r="55">
          <cell r="B55">
            <v>671229</v>
          </cell>
          <cell r="C55" t="str">
            <v>All three required documents were approved on first pass, the Spend authorization included. The Certificate of Insurance names the arena as additional insured, as required. Vendor is good to go.</v>
          </cell>
          <cell r="D55" t="str">
            <v>Completion</v>
          </cell>
        </row>
        <row r="56">
          <cell r="B56">
            <v>780052</v>
          </cell>
          <cell r="C56" t="str">
            <v>Full document set received and reconciled against the master vendor record; the W-9 needed a quick correction, now resolved. No further discrepancies found. Onboarding officially complete.</v>
          </cell>
          <cell r="D56" t="str">
            <v>Completion</v>
          </cell>
        </row>
        <row r="57">
          <cell r="B57">
            <v>404800</v>
          </cell>
          <cell r="C57" t="str">
            <v>Contact delivered the Spend authorization ahead of the deadline, completing the packet. Coverage and W-9 details confirmed current. Cleared for daily operations support.</v>
          </cell>
          <cell r="D57" t="str">
            <v>Completion</v>
          </cell>
        </row>
        <row r="58">
          <cell r="B58">
            <v>954340</v>
          </cell>
          <cell r="C58" t="str">
            <v>All onboarding documents — COI, W-9, and Spend authorization — are received and verified, with the W-9 arriving last. Compliance review passed with no exceptions. Vendor is fully onboarded and cleared for service.</v>
          </cell>
          <cell r="D58" t="str">
            <v>Completion</v>
          </cell>
        </row>
        <row r="59">
          <cell r="B59">
            <v>648288</v>
          </cell>
          <cell r="C59" t="str">
            <v>Full document set received and reconciled against the master vendor record; the W-9 needed a quick correction, now resolved. No further discrepancies found. Onboarding officially complete.</v>
          </cell>
          <cell r="D59" t="str">
            <v>Completion</v>
          </cell>
        </row>
        <row r="60">
          <cell r="B60">
            <v>866025</v>
          </cell>
          <cell r="C60" t="str">
            <v>The coi was the last piece and it cleared review this Friday. COI, W-9, and Spend authorization are all validated. Vendor activated and notified.</v>
          </cell>
          <cell r="D60" t="str">
            <v>Completion</v>
          </cell>
        </row>
        <row r="61">
          <cell r="B61">
            <v>324742</v>
          </cell>
          <cell r="C61" t="str">
            <v>All onboarding documents — COI, W-9, and Spend authorization — are received and verified, with the Spend authorization arriving last. Compliance review passed with no exceptions. Vendor is fully onboarded and cleared for service.</v>
          </cell>
          <cell r="D61" t="str">
            <v>Completion</v>
          </cell>
        </row>
        <row r="62">
          <cell r="B62">
            <v>554670</v>
          </cell>
          <cell r="C62" t="str">
            <v>Everything is in — the Spend authorization arrived this Monday and matched our records. Contact was proactive throughout. Onboarding complete.</v>
          </cell>
          <cell r="D62" t="str">
            <v>Completion</v>
          </cell>
        </row>
        <row r="63">
          <cell r="B63">
            <v>768695</v>
          </cell>
          <cell r="C63" t="str">
            <v>All three required documents were approved on first pass, the Spend authorization included. The Certificate of Insurance names the arena as additional insured, as required. Vendor is good to go.</v>
          </cell>
          <cell r="D63" t="str">
            <v>Completion</v>
          </cell>
        </row>
        <row r="64">
          <cell r="B64">
            <v>807058</v>
          </cell>
          <cell r="C64" t="str">
            <v>Contact delivered the W-9 ahead of the deadline, completing the packet. Coverage and W-9 details confirmed current. Cleared for daily operations support.</v>
          </cell>
          <cell r="D64" t="str">
            <v>Completion</v>
          </cell>
        </row>
        <row r="65">
          <cell r="B65">
            <v>979734</v>
          </cell>
          <cell r="C65" t="str">
            <v>Onboarding finalized after a short verification call this Tuesday. Every document is signed, dated, and on file. Ready for service assignment.</v>
          </cell>
          <cell r="D65" t="str">
            <v>Completion</v>
          </cell>
        </row>
        <row r="66">
          <cell r="B66">
            <v>429497</v>
          </cell>
          <cell r="C66" t="str">
            <v>Received and accepted the Spend authorization, closing out the packet. No exceptions in compliance review. Vendor status set to active.</v>
          </cell>
          <cell r="D66" t="str">
            <v>Completion</v>
          </cell>
        </row>
        <row r="67">
          <cell r="B67">
            <v>613296</v>
          </cell>
          <cell r="C67" t="str">
            <v>All onboarding documents — COI, W-9, and Spend authorization — are received and verified, with the COI arriving last. Compliance review passed with no exceptions. Vendor is fully onboarded and cleared for service.</v>
          </cell>
          <cell r="D67" t="str">
            <v>Completion</v>
          </cell>
        </row>
        <row r="68">
          <cell r="B68">
            <v>435003</v>
          </cell>
          <cell r="C68" t="str">
            <v>Received and accepted the Spend authorization, closing out the packet. No exceptions in compliance review. Vendor status set to active.</v>
          </cell>
          <cell r="D68" t="str">
            <v>Completion</v>
          </cell>
        </row>
        <row r="69">
          <cell r="B69">
            <v>518144</v>
          </cell>
          <cell r="C69" t="str">
            <v>Contact delivered the Spend authorization ahead of the deadline, completing the packet. Coverage and W-9 details confirmed current. Cleared for daily operations support.</v>
          </cell>
          <cell r="D69" t="str">
            <v>Completion</v>
          </cell>
        </row>
        <row r="70">
          <cell r="B70">
            <v>153870</v>
          </cell>
          <cell r="C70" t="str">
            <v>All three required documents were approved on first pass, the COI included. The Certificate of Insurance names the arena as additional insured, as required. Vendor is good to go.</v>
          </cell>
          <cell r="D70" t="str">
            <v>Completion</v>
          </cell>
        </row>
        <row r="71">
          <cell r="B71">
            <v>188534</v>
          </cell>
          <cell r="C71" t="str">
            <v>Everything is in — the COI arrived this Wednesday and matched our records. Contact was proactive throughout. Onboarding complete.</v>
          </cell>
          <cell r="D71" t="str">
            <v>Completion</v>
          </cell>
        </row>
        <row r="72">
          <cell r="B72">
            <v>705472</v>
          </cell>
          <cell r="C72" t="str">
            <v>Contact delivered the Spend authorization ahead of the deadline, completing the packet. Coverage and W-9 details confirmed current. Cleared for daily operations support.</v>
          </cell>
          <cell r="D72" t="str">
            <v>Completion</v>
          </cell>
        </row>
        <row r="73">
          <cell r="B73">
            <v>386058</v>
          </cell>
          <cell r="C73" t="str">
            <v>Packet complete after the COI was uploaded, closing the final open item. Documents were cross-checked against contract requirements and approved. Vendor moved to active status.</v>
          </cell>
          <cell r="D73" t="str">
            <v>Completion</v>
          </cell>
        </row>
        <row r="74">
          <cell r="B74">
            <v>751673</v>
          </cell>
          <cell r="C74" t="str">
            <v>Contact delivered the Spend authorization ahead of the deadline, completing the packet. Coverage and W-9 details confirmed current. Cleared for daily operations support.</v>
          </cell>
          <cell r="D74" t="str">
            <v>Completion</v>
          </cell>
        </row>
        <row r="75">
          <cell r="B75">
            <v>224906</v>
          </cell>
          <cell r="C75" t="str">
            <v>Everything is in — the COI arrived this Monday and matched our records. Contact was proactive throughout. Onboarding complete.</v>
          </cell>
          <cell r="D75" t="str">
            <v>Completion</v>
          </cell>
        </row>
        <row r="76">
          <cell r="B76">
            <v>815961</v>
          </cell>
          <cell r="C76" t="str">
            <v>Packet complete after the Spend authorization was uploaded, closing the final open item. Documents were cross-checked against contract requirements and approved. Vendor moved to active status.</v>
          </cell>
          <cell r="D76" t="str">
            <v>Completion</v>
          </cell>
        </row>
        <row r="77">
          <cell r="B77">
            <v>643148</v>
          </cell>
          <cell r="C77" t="str">
            <v>Received and accepted the COI, closing out the packet. No exceptions in compliance review. Vendor status set to active.</v>
          </cell>
          <cell r="D77" t="str">
            <v>Completion</v>
          </cell>
        </row>
        <row r="78">
          <cell r="B78">
            <v>801030</v>
          </cell>
          <cell r="C78" t="str">
            <v>Onboarding finalized after a short verification call this Thursday. Every document is signed, dated, and on file. Ready for service assignment.</v>
          </cell>
          <cell r="D78" t="str">
            <v>Completion</v>
          </cell>
        </row>
        <row r="79">
          <cell r="B79">
            <v>201358</v>
          </cell>
          <cell r="C79" t="str">
            <v>Contact delivered the W-9 ahead of the deadline, completing the packet. Coverage and W-9 details confirmed current. Cleared for daily operations support.</v>
          </cell>
          <cell r="D79" t="str">
            <v>Completion</v>
          </cell>
        </row>
        <row r="80">
          <cell r="B80">
            <v>546016</v>
          </cell>
          <cell r="C80" t="str">
            <v>Everything is in — the W-9 arrived this Thursday and matched our records. Contact was proactive throughout. Onboarding complete.</v>
          </cell>
          <cell r="D80" t="str">
            <v>Completion</v>
          </cell>
        </row>
        <row r="81">
          <cell r="B81">
            <v>681381</v>
          </cell>
          <cell r="C81" t="str">
            <v>Everything is in — the COI arrived this Thursday and matched our records. Contact was proactive throughout. Onboarding complete.</v>
          </cell>
          <cell r="D81" t="str">
            <v>Completion</v>
          </cell>
        </row>
        <row r="82">
          <cell r="B82">
            <v>664201</v>
          </cell>
          <cell r="C82" t="str">
            <v>The coi was the last piece and it cleared review this Wednesday. COI, W-9, and Spend authorization are all validated. Vendor activated and notified.</v>
          </cell>
          <cell r="D82" t="str">
            <v>Completion</v>
          </cell>
        </row>
        <row r="83">
          <cell r="B83">
            <v>180027</v>
          </cell>
          <cell r="C83" t="str">
            <v>Everything is in — the W-9 arrived this Tuesday and matched our records. Contact was proactive throughout. Onboarding complete.</v>
          </cell>
          <cell r="D83" t="str">
            <v>Completion</v>
          </cell>
        </row>
        <row r="84">
          <cell r="B84">
            <v>428668</v>
          </cell>
          <cell r="C84" t="str">
            <v>The spend authorization was the last piece and it cleared review this Tuesday. COI, W-9, and Spend authorization are all validated. Vendor activated and notified.</v>
          </cell>
          <cell r="D84" t="str">
            <v>Completion</v>
          </cell>
        </row>
        <row r="85">
          <cell r="B85">
            <v>128505</v>
          </cell>
          <cell r="C85" t="str">
            <v>The spend authorization received and verified; the W-9 and the COI still outstanding. Contact confirmed the remainder will be submitted by Wednesday. Following up then.</v>
          </cell>
          <cell r="D85" t="str">
            <v>Received</v>
          </cell>
        </row>
        <row r="86">
          <cell r="B86">
            <v>312369</v>
          </cell>
          <cell r="C86" t="str">
            <v>The coi received and verified; the Spend authorization and the W-9 still outstanding. Contact confirmed the remainder will be submitted by Monday. Following up then.</v>
          </cell>
          <cell r="D86" t="str">
            <v>Received</v>
          </cell>
        </row>
        <row r="87">
          <cell r="B87">
            <v>891370</v>
          </cell>
          <cell r="C87" t="str">
            <v>Received the W-9 through the portal today; the COI and the Spend authorization still pending. Contact acknowledged the request and is gathering the paperwork. Checking back next week.</v>
          </cell>
          <cell r="D87" t="str">
            <v>Received</v>
          </cell>
        </row>
        <row r="88">
          <cell r="B88">
            <v>944039</v>
          </cell>
          <cell r="C88" t="str">
            <v>The coi and the spend authorization received and verified; the W-9 still outstanding. Contact confirmed the remainder will be submitted by Tuesday. Following up then.</v>
          </cell>
          <cell r="D88" t="str">
            <v>Received</v>
          </cell>
        </row>
        <row r="89">
          <cell r="B89">
            <v>363199</v>
          </cell>
          <cell r="C89" t="str">
            <v>The coi and the w-9 received and verified; the Spend authorization still outstanding. Contact confirmed the remainder will be submitted by Wednesday. Following up then.</v>
          </cell>
          <cell r="D89" t="str">
            <v>Received</v>
          </cell>
        </row>
        <row r="90">
          <cell r="B90">
            <v>658902</v>
          </cell>
          <cell r="C90" t="str">
            <v>First batch received: the COI logged and approved. Still awaiting the Spend authorization and the W-9. Contact committed to finishing by Tuesday.</v>
          </cell>
          <cell r="D90" t="str">
            <v>Received</v>
          </cell>
        </row>
        <row r="91">
          <cell r="B91">
            <v>592207</v>
          </cell>
          <cell r="C91" t="str">
            <v>Progressing well: the COI and the W-9 accepted and logged. Outstanding item is the Spend authorization, which the contact expects by Wednesday. Steady communication.</v>
          </cell>
          <cell r="D91" t="str">
            <v>Received</v>
          </cell>
        </row>
        <row r="92">
          <cell r="B92">
            <v>976981</v>
          </cell>
          <cell r="C92" t="str">
            <v>The w-9 and the spend authorization received and verified; the COI still outstanding. Contact confirmed the remainder will be submitted by Friday. Following up then.</v>
          </cell>
          <cell r="D92" t="str">
            <v>Received</v>
          </cell>
        </row>
        <row r="93">
          <cell r="B93">
            <v>237590</v>
          </cell>
          <cell r="C93" t="str">
            <v>Partial packet in — the W-9 and the Spend authorization on file and within requirements. Awaiting the COI from the vendor's team. Reminder set for next week.</v>
          </cell>
          <cell r="D93" t="str">
            <v>Received</v>
          </cell>
        </row>
        <row r="94">
          <cell r="B94">
            <v>752539</v>
          </cell>
          <cell r="C94" t="str">
            <v>Contact uploaded the W-9; the Spend authorization and the COI to follow once signed. Communication has been solid. Next check-in Wednesday.</v>
          </cell>
          <cell r="D94" t="str">
            <v>Received</v>
          </cell>
        </row>
        <row r="95">
          <cell r="B95">
            <v>637866</v>
          </cell>
          <cell r="C95" t="str">
            <v>The coi and the w-9 received and verified; the Spend authorization still outstanding. Contact confirmed the remainder will be submitted by Friday. Following up then.</v>
          </cell>
          <cell r="D95" t="str">
            <v>Received</v>
          </cell>
        </row>
        <row r="96">
          <cell r="B96">
            <v>571224</v>
          </cell>
          <cell r="C96" t="str">
            <v>The coi and the spend authorization received and verified; the W-9 still outstanding. Contact confirmed the remainder will be submitted by Tuesday. Following up then.</v>
          </cell>
          <cell r="D96" t="str">
            <v>Received</v>
          </cell>
        </row>
        <row r="97">
          <cell r="B97">
            <v>452760</v>
          </cell>
          <cell r="C97" t="str">
            <v>The spend authorization pushed back owing to a processing backlog cited by their broker. The rest of the packet is fine. Expecting resolution by Wednesday.</v>
          </cell>
          <cell r="D97" t="str">
            <v>Delayed</v>
          </cell>
        </row>
        <row r="98">
          <cell r="B98">
            <v>644854</v>
          </cell>
          <cell r="C98" t="str">
            <v>The spend authorization pushed back owing to a vendor-side system migration that temporarily locked their files. The rest of the packet is fine. Expecting resolution by Wednesday.</v>
          </cell>
          <cell r="D98" t="str">
            <v>Delayed</v>
          </cell>
        </row>
        <row r="99">
          <cell r="B99">
            <v>988976</v>
          </cell>
          <cell r="C99" t="str">
            <v>The spend authorization held up because of their broker is reissuing the certificate with corrected coverage limits. Contact is actively working it and apologized for the lag. New target is Tuesday.</v>
          </cell>
          <cell r="D99" t="str">
            <v>Delayed</v>
          </cell>
        </row>
        <row r="100">
          <cell r="B100">
            <v>342572</v>
          </cell>
          <cell r="C100" t="str">
            <v>The coi is delayed due to a vendor-side system migration that temporarily locked their files. A short extension was granted and acknowledged. Will re-check status by Friday.</v>
          </cell>
          <cell r="D100" t="str">
            <v>Delayed</v>
          </cell>
        </row>
        <row r="101">
          <cell r="B101">
            <v>562521</v>
          </cell>
          <cell r="C101" t="str">
            <v>Submission of the W-9 stalled because of a legal entity name change working through their system. Contact remains responsive despite the holdup. Re-checking Monday.</v>
          </cell>
          <cell r="D101" t="str">
            <v>Delayed</v>
          </cell>
        </row>
        <row r="102">
          <cell r="B102">
            <v>787491</v>
          </cell>
          <cell r="C102" t="str">
            <v>Documents delayed — the contact's finance lead is out on PTO. Contact confirmed the item is in progress. Monitoring and following up next week.</v>
          </cell>
          <cell r="D102" t="str">
            <v>Delayed</v>
          </cell>
        </row>
        <row r="103">
          <cell r="B103">
            <v>683594</v>
          </cell>
          <cell r="C103" t="str">
            <v>The w-9 is delayed due to the contact's finance lead is out on PTO. A short extension was granted and acknowledged. Will re-check status by next week.</v>
          </cell>
          <cell r="D103" t="str">
            <v>Delayed</v>
          </cell>
        </row>
        <row r="104">
          <cell r="B104">
            <v>559749</v>
          </cell>
          <cell r="C104" t="str">
            <v>The coi held up because of a legal entity name change working through their system. Contact is actively working it and apologized for the lag. New target is next week.</v>
          </cell>
          <cell r="D104" t="str">
            <v>Delayed</v>
          </cell>
        </row>
        <row r="105">
          <cell r="B105">
            <v>540366</v>
          </cell>
          <cell r="C105" t="str">
            <v>Submission of the W-9 stalled because of an internal signature backlog on the vendor's side. Contact remains responsive despite the holdup. Re-checking Monday.</v>
          </cell>
          <cell r="D105" t="str">
            <v>Delayed</v>
          </cell>
        </row>
        <row r="106">
          <cell r="B106">
            <v>241920</v>
          </cell>
          <cell r="C106" t="str">
            <v>The w-9 is delayed due to an unexpected staffing gap after the contact went on leave. A short extension was granted and acknowledged. Will re-check status by Tuesday.</v>
          </cell>
          <cell r="D106" t="str">
            <v>Delayed</v>
          </cell>
        </row>
        <row r="107">
          <cell r="B107">
            <v>777015</v>
          </cell>
          <cell r="C107" t="str">
            <v>The spend authorization pushed back owing to an internal signature backlog on the vendor's side. The rest of the packet is fine. Expecting resolution by Friday.</v>
          </cell>
          <cell r="D107" t="str">
            <v>Delayed</v>
          </cell>
        </row>
        <row r="108">
          <cell r="B108">
            <v>941533</v>
          </cell>
          <cell r="C108" t="str">
            <v>Received and accepted the Spend authorization, closing out the packet. No exceptions in compliance review. Vendor status set to active.</v>
          </cell>
          <cell r="D108" t="str">
            <v>Completion</v>
          </cell>
        </row>
        <row r="109">
          <cell r="B109">
            <v>226687</v>
          </cell>
          <cell r="C109" t="str">
            <v>Full document set received and reconciled against the master vendor record; the COI needed a quick correction, now resolved. No further discrepancies found. Onboarding officially complete.</v>
          </cell>
          <cell r="D109" t="str">
            <v>Completion</v>
          </cell>
        </row>
        <row r="110">
          <cell r="B110">
            <v>255751</v>
          </cell>
          <cell r="C110" t="str">
            <v>Packet complete after the COI was uploaded, closing the final open item. Documents were cross-checked against contract requirements and approved. Vendor moved to active status.</v>
          </cell>
          <cell r="D110" t="str">
            <v>Completion</v>
          </cell>
        </row>
        <row r="111">
          <cell r="B111">
            <v>572006</v>
          </cell>
          <cell r="C111" t="str">
            <v>Everything is in — the W-9 arrived this Friday and matched our records. Contact was proactive throughout. Onboarding complete.</v>
          </cell>
          <cell r="D111" t="str">
            <v>Completion</v>
          </cell>
        </row>
        <row r="112">
          <cell r="B112">
            <v>253468</v>
          </cell>
          <cell r="C112" t="str">
            <v>Full document set received and reconciled against the master vendor record; the W-9 needed a quick correction, now resolved. No further discrepancies found. Onboarding officially complete.</v>
          </cell>
          <cell r="D112" t="str">
            <v>Completion</v>
          </cell>
        </row>
        <row r="113">
          <cell r="B113">
            <v>691396</v>
          </cell>
          <cell r="C113" t="str">
            <v>Full document set received and reconciled against the master vendor record; the W-9 needed a quick correction, now resolved. No further discrepancies found. Onboarding officially complete.</v>
          </cell>
          <cell r="D113" t="str">
            <v>Completion</v>
          </cell>
        </row>
        <row r="114">
          <cell r="B114">
            <v>589247</v>
          </cell>
          <cell r="C114" t="str">
            <v>Onboarding finalized after a short verification call this Wednesday. Every document is signed, dated, and on file. Ready for service assignment.</v>
          </cell>
          <cell r="D114" t="str">
            <v>Completion</v>
          </cell>
        </row>
        <row r="115">
          <cell r="B115">
            <v>599147</v>
          </cell>
          <cell r="C115" t="str">
            <v>Full document set received and reconciled against the master vendor record; the W-9 needed a quick correction, now resolved. No further discrepancies found. Onboarding officially complete.</v>
          </cell>
          <cell r="D115" t="str">
            <v>Completion</v>
          </cell>
        </row>
        <row r="116">
          <cell r="B116">
            <v>351589</v>
          </cell>
          <cell r="C116" t="str">
            <v>Received and accepted the Spend authorization, closing out the packet. No exceptions in compliance review. Vendor status set to active.</v>
          </cell>
          <cell r="D116" t="str">
            <v>Completion</v>
          </cell>
        </row>
        <row r="117">
          <cell r="B117">
            <v>518546</v>
          </cell>
          <cell r="C117" t="str">
            <v>Contact delivered the Spend authorization ahead of the deadline, completing the packet. Coverage and W-9 details confirmed current. Cleared for daily operations support.</v>
          </cell>
          <cell r="D117" t="str">
            <v>Completion</v>
          </cell>
        </row>
        <row r="118">
          <cell r="B118">
            <v>509371</v>
          </cell>
          <cell r="C118" t="str">
            <v>Contact delivered the COI ahead of the deadline, completing the packet. Coverage and W-9 details confirmed current. Cleared for daily operations support.</v>
          </cell>
          <cell r="D118" t="str">
            <v>Completion</v>
          </cell>
        </row>
        <row r="119">
          <cell r="B119">
            <v>371404</v>
          </cell>
          <cell r="C119" t="str">
            <v>Confirmed all required paperwork on file once the W-9 came through the portal. Insurance limits and tax details verified. Onboarding closed out.</v>
          </cell>
          <cell r="D119" t="str">
            <v>Completion</v>
          </cell>
        </row>
        <row r="120">
          <cell r="B120">
            <v>456929</v>
          </cell>
          <cell r="C120" t="str">
            <v>Packet complete after the COI was uploaded, closing the final open item. Documents were cross-checked against contract requirements and approved. Vendor moved to active status.</v>
          </cell>
          <cell r="D120" t="str">
            <v>Completion</v>
          </cell>
        </row>
        <row r="121">
          <cell r="B121">
            <v>849231</v>
          </cell>
          <cell r="C121" t="str">
            <v>All three required documents were approved on first pass, the W-9 included. The Certificate of Insurance names the arena as additional insured, as required. Vendor is good to go.</v>
          </cell>
          <cell r="D121" t="str">
            <v>Completion</v>
          </cell>
        </row>
        <row r="122">
          <cell r="B122">
            <v>726286</v>
          </cell>
          <cell r="C122" t="str">
            <v>Confirmed all required paperwork on file once the COI came through the portal. Insurance limits and tax details verified. Onboarding closed out.</v>
          </cell>
          <cell r="D122" t="str">
            <v>Completion</v>
          </cell>
        </row>
        <row r="123">
          <cell r="B123">
            <v>105380</v>
          </cell>
          <cell r="C123" t="str">
            <v>Contact uploaded the W-9; the Spend authorization and the COI to follow once signed. Communication has been solid. Next check-in Monday.</v>
          </cell>
          <cell r="D123" t="str">
            <v>Received</v>
          </cell>
        </row>
        <row r="124">
          <cell r="B124">
            <v>903027</v>
          </cell>
          <cell r="C124" t="str">
            <v>Received the COI through the portal today; the Spend authorization and the W-9 still pending. Contact acknowledged the request and is gathering the paperwork. Checking back next week.</v>
          </cell>
          <cell r="D124" t="str">
            <v>Received</v>
          </cell>
        </row>
        <row r="125">
          <cell r="B125">
            <v>910625</v>
          </cell>
          <cell r="C125" t="str">
            <v>The w-9 received and verified; the Spend authorization and the COI still outstanding. Contact confirmed the remainder will be submitted by Thursday. Following up then.</v>
          </cell>
          <cell r="D125" t="str">
            <v>Received</v>
          </cell>
        </row>
        <row r="126">
          <cell r="B126">
            <v>216115</v>
          </cell>
          <cell r="C126" t="str">
            <v>Progressing well: the COI accepted and logged. Outstanding item is the Spend authorization and the W-9, which the contact expects by next week. Steady communication.</v>
          </cell>
          <cell r="D126" t="str">
            <v>Received</v>
          </cell>
        </row>
        <row r="127">
          <cell r="B127">
            <v>420868</v>
          </cell>
          <cell r="C127" t="str">
            <v>The w-9 received and verified; the Spend authorization and the COI still outstanding. Contact confirmed the remainder will be submitted by Monday. Following up then.</v>
          </cell>
          <cell r="D127" t="str">
            <v>Received</v>
          </cell>
        </row>
        <row r="128">
          <cell r="B128">
            <v>127043</v>
          </cell>
          <cell r="C128" t="str">
            <v>First batch received: the W-9 logged and approved. Still awaiting the Spend authorization and the COI. Contact committed to finishing by Wednesday.</v>
          </cell>
          <cell r="D128" t="str">
            <v>Received</v>
          </cell>
        </row>
        <row r="129">
          <cell r="B129">
            <v>700381</v>
          </cell>
          <cell r="C129" t="str">
            <v>Progressing well: the W-9 accepted and logged. Outstanding item is the Spend authorization and the COI, which the contact expects by Thursday. Steady communication.</v>
          </cell>
          <cell r="D129" t="str">
            <v>Received</v>
          </cell>
        </row>
        <row r="130">
          <cell r="B130">
            <v>541046</v>
          </cell>
          <cell r="C130" t="str">
            <v>Contact uploaded the COI; the Spend authorization and the W-9 to follow once signed. Communication has been solid. Next check-in next week.</v>
          </cell>
          <cell r="D130" t="str">
            <v>Received</v>
          </cell>
        </row>
        <row r="131">
          <cell r="B131">
            <v>729318</v>
          </cell>
          <cell r="C131" t="str">
            <v>First batch received: the COI and the W-9 logged and approved. Still awaiting the Spend authorization. Contact committed to finishing by Tuesday.</v>
          </cell>
          <cell r="D131" t="str">
            <v>Received</v>
          </cell>
        </row>
        <row r="132">
          <cell r="B132">
            <v>474604</v>
          </cell>
          <cell r="C132" t="str">
            <v>The w-9 and the spend authorization received and verified; the COI still outstanding. Contact confirmed the remainder will be submitted by Monday. Following up then.</v>
          </cell>
          <cell r="D132" t="str">
            <v>Received</v>
          </cell>
        </row>
        <row r="133">
          <cell r="B133">
            <v>776116</v>
          </cell>
          <cell r="C133" t="str">
            <v>Partial packet in — the COI on file and within requirements. Awaiting the Spend authorization and the W-9 from the vendor's team. Reminder set for next week.</v>
          </cell>
          <cell r="D133" t="str">
            <v>Received</v>
          </cell>
        </row>
        <row r="134">
          <cell r="B134">
            <v>422570</v>
          </cell>
          <cell r="C134" t="str">
            <v>The spend authorization received and verified; the W-9 and the COI still outstanding. Contact confirmed the remainder will be submitted by Monday. Following up then.</v>
          </cell>
          <cell r="D134" t="str">
            <v>Received</v>
          </cell>
        </row>
        <row r="135">
          <cell r="B135">
            <v>905427</v>
          </cell>
          <cell r="C135" t="str">
            <v>First batch received: the COI and the W-9 logged and approved. Still awaiting the Spend authorization. Contact committed to finishing by Wednesday.</v>
          </cell>
          <cell r="D135" t="str">
            <v>Received</v>
          </cell>
        </row>
        <row r="136">
          <cell r="B136">
            <v>855470</v>
          </cell>
          <cell r="C136" t="str">
            <v>First batch received: the W-9 logged and approved. Still awaiting the COI and the Spend authorization. Contact committed to finishing by next week.</v>
          </cell>
          <cell r="D136" t="str">
            <v>Received</v>
          </cell>
        </row>
        <row r="137">
          <cell r="B137">
            <v>703472</v>
          </cell>
          <cell r="C137" t="str">
            <v>Good progress — the COI and the W-9 confirmed and filed. The spend authorization sits in the vendor's internal approval queue, expected by Tuesday. No concerns yet.</v>
          </cell>
          <cell r="D137" t="str">
            <v>Received</v>
          </cell>
        </row>
        <row r="138">
          <cell r="B138">
            <v>304990</v>
          </cell>
          <cell r="C138" t="str">
            <v>The spend authorization received and verified; the W-9 and the COI still outstanding. Contact confirmed the remainder will be submitted by Thursday. Following up then.</v>
          </cell>
          <cell r="D138" t="str">
            <v>Received</v>
          </cell>
        </row>
        <row r="139">
          <cell r="B139">
            <v>920417</v>
          </cell>
          <cell r="C139" t="str">
            <v>Progressing well: the COI and the Spend authorization accepted and logged. Outstanding item is the W-9, which the contact expects by next week. Steady communication.</v>
          </cell>
          <cell r="D139" t="str">
            <v>Received</v>
          </cell>
        </row>
        <row r="140">
          <cell r="B140">
            <v>262278</v>
          </cell>
          <cell r="C140" t="str">
            <v>The coi received and verified; the W-9 and the Spend authorization still outstanding. Contact confirmed the remainder will be submitted by next week. Following up then.</v>
          </cell>
          <cell r="D140" t="str">
            <v>Received</v>
          </cell>
        </row>
        <row r="141">
          <cell r="B141">
            <v>943992</v>
          </cell>
          <cell r="C141" t="str">
            <v>Progressing well: the COI and the W-9 accepted and logged. Outstanding item is the Spend authorization, which the contact expects by Thursday. Steady communication.</v>
          </cell>
          <cell r="D141" t="str">
            <v>Received</v>
          </cell>
        </row>
        <row r="142">
          <cell r="B142">
            <v>241415</v>
          </cell>
          <cell r="C142" t="str">
            <v>First batch received: the Spend authorization logged and approved. Still awaiting the W-9 and the COI. Contact committed to finishing by Wednesday.</v>
          </cell>
          <cell r="D142" t="str">
            <v>Received</v>
          </cell>
        </row>
        <row r="143">
          <cell r="B143">
            <v>778670</v>
          </cell>
          <cell r="C143" t="str">
            <v>The coi pushed back owing to a legal entity name change working through their system. The rest of the packet is fine. Expecting resolution by Tuesday.</v>
          </cell>
          <cell r="D143" t="str">
            <v>Delayed</v>
          </cell>
        </row>
        <row r="144">
          <cell r="B144">
            <v>802287</v>
          </cell>
          <cell r="C144" t="str">
            <v>The coi is delayed due to an unexpected staffing gap after the contact went on leave. A short extension was granted and acknowledged. Will re-check status by Friday.</v>
          </cell>
          <cell r="D144" t="str">
            <v>Delayed</v>
          </cell>
        </row>
        <row r="145">
          <cell r="B145">
            <v>583469</v>
          </cell>
          <cell r="C145" t="str">
            <v>Submission of the COI stalled because of a pending budget approval on the vendor's end. Contact remains responsive despite the holdup. Re-checking Tuesday.</v>
          </cell>
          <cell r="D145" t="str">
            <v>Delayed</v>
          </cell>
        </row>
        <row r="146">
          <cell r="B146">
            <v>686988</v>
          </cell>
          <cell r="C146" t="str">
            <v>The spend authorization is delayed due to a pending budget approval on the vendor's end. A short extension was granted and acknowledged. Will re-check status by Wednesday.</v>
          </cell>
          <cell r="D146" t="str">
            <v>Delayed</v>
          </cell>
        </row>
        <row r="147">
          <cell r="B147">
            <v>923220</v>
          </cell>
          <cell r="C147" t="str">
            <v>Submission of the COI stalled because of a holiday closure at the vendor's corporate office. Contact remains responsive despite the holdup. Re-checking Tuesday.</v>
          </cell>
          <cell r="D147" t="str">
            <v>Delayed</v>
          </cell>
        </row>
        <row r="148">
          <cell r="B148">
            <v>488108</v>
          </cell>
          <cell r="C148" t="str">
            <v>The spend authorization is delayed due to the contact's finance lead is out on PTO. A short extension was granted and acknowledged. Will re-check status by next week.</v>
          </cell>
          <cell r="D148" t="str">
            <v>Delayed</v>
          </cell>
        </row>
        <row r="149">
          <cell r="B149">
            <v>652863</v>
          </cell>
          <cell r="C149" t="str">
            <v>Documents delayed — a corporate reorganization reassigning document ownership. Contact confirmed the item is in progress. Monitoring and following up Friday.</v>
          </cell>
          <cell r="D149" t="str">
            <v>Delayed</v>
          </cell>
        </row>
        <row r="150">
          <cell r="B150">
            <v>811599</v>
          </cell>
          <cell r="C150" t="str">
            <v>Documents delayed — an internal signature backlog on the vendor's side. Contact confirmed the item is in progress. Monitoring and following up Tuesday.</v>
          </cell>
          <cell r="D150" t="str">
            <v>Delayed</v>
          </cell>
        </row>
        <row r="151">
          <cell r="B151">
            <v>371207</v>
          </cell>
          <cell r="C151" t="str">
            <v>The coi pushed back owing to a pending budget approval on the vendor's end. The rest of the packet is fine. Expecting resolution by Wednesday.</v>
          </cell>
          <cell r="D151" t="str">
            <v>Delayed</v>
          </cell>
        </row>
        <row r="152">
          <cell r="B152">
            <v>334130</v>
          </cell>
          <cell r="C152" t="str">
            <v>The coi held up because of a corporate reorganization reassigning document ownership. Contact is actively working it and apologized for the lag. New target is next week.</v>
          </cell>
          <cell r="D152" t="str">
            <v>Delayed</v>
          </cell>
        </row>
        <row r="153">
          <cell r="B153">
            <v>906914</v>
          </cell>
          <cell r="C153" t="str">
            <v>Replies are sporadic and often incomplete, slowing everything down. Still awaiting all required documents. Setting a firm deadline in the next message.</v>
          </cell>
          <cell r="D153" t="str">
            <v>Poor Communication</v>
          </cell>
        </row>
        <row r="154">
          <cell r="B154">
            <v>285558</v>
          </cell>
          <cell r="C154" t="str">
            <v>Third outreach attempt with no response from the contact. Voicemail left and a follow-up email sent requesting the outstanding documents. Escalating to a backup contact if no reply by Friday.</v>
          </cell>
          <cell r="D154" t="str">
            <v>Poor Communication</v>
          </cell>
        </row>
        <row r="155">
          <cell r="B155">
            <v>579668</v>
          </cell>
          <cell r="C155" t="str">
            <v>Replies are sporadic and often incomplete, slowing everything down. Still awaiting all required documents. Setting a firm deadline in the next message.</v>
          </cell>
          <cell r="D155" t="str">
            <v>Poor Communication</v>
          </cell>
        </row>
        <row r="156">
          <cell r="B156">
            <v>983362</v>
          </cell>
          <cell r="C156" t="str">
            <v>Third outreach attempt with no response from the contact. Voicemail left and a follow-up email sent requesting the outstanding documents. Escalating to a backup contact if no reply by Friday.</v>
          </cell>
          <cell r="D156" t="str">
            <v>Poor Communication</v>
          </cell>
        </row>
        <row r="157">
          <cell r="B157">
            <v>918149</v>
          </cell>
          <cell r="C157" t="str">
            <v>Contact acknowledged the request but has since stopped responding. No documents in. Trying a different channel and noting for supervisor follow-up.</v>
          </cell>
          <cell r="D157" t="str">
            <v>Poor Communication</v>
          </cell>
        </row>
        <row r="158">
          <cell r="B158">
            <v>486761</v>
          </cell>
          <cell r="C158" t="str">
            <v>Contact has gone quiet after an initial acknowledgment; recent emails are unanswered. No documents received yet. Attempting a call and considering escalation.</v>
          </cell>
          <cell r="D158" t="str">
            <v>Poor Communication</v>
          </cell>
        </row>
        <row r="159">
          <cell r="B159">
            <v>508914</v>
          </cell>
          <cell r="C159" t="str">
            <v>Contact has gone quiet after an initial acknowledgment; recent emails are unanswered. No documents received yet. Attempting a call and considering escalation.</v>
          </cell>
          <cell r="D159" t="str">
            <v>Poor Communication</v>
          </cell>
        </row>
        <row r="160">
          <cell r="B160">
            <v>648632</v>
          </cell>
          <cell r="C160" t="str">
            <v>Contact unresponsive to the last several messages, and the voicemail box is full. Requesting an alternate point of contact from the vendor. Noted for escalation.</v>
          </cell>
          <cell r="D160" t="str">
            <v>Poor Communication</v>
          </cell>
        </row>
        <row r="161">
          <cell r="B161">
            <v>182479</v>
          </cell>
          <cell r="C161" t="str">
            <v>Everything is in — the Spend authorization arrived this Tuesday and matched our records. Contact was proactive throughout. Onboarding complete.</v>
          </cell>
          <cell r="D161" t="str">
            <v>Completion</v>
          </cell>
        </row>
        <row r="162">
          <cell r="B162">
            <v>614883</v>
          </cell>
          <cell r="C162" t="str">
            <v>All three required documents were approved on first pass, the W-9 included. The Certificate of Insurance names the arena as additional insured, as required. Vendor is good to go.</v>
          </cell>
          <cell r="D162" t="str">
            <v>Completion</v>
          </cell>
        </row>
        <row r="163">
          <cell r="B163">
            <v>376240</v>
          </cell>
          <cell r="C163" t="str">
            <v>Full document set received and reconciled against the master vendor record; the COI needed a quick correction, now resolved. No further discrepancies found. Onboarding officially complete.</v>
          </cell>
          <cell r="D163" t="str">
            <v>Completion</v>
          </cell>
        </row>
        <row r="164">
          <cell r="B164">
            <v>605532</v>
          </cell>
          <cell r="C164" t="str">
            <v>Full document set received and reconciled against the master vendor record; the COI needed a quick correction, now resolved. No further discrepancies found. Onboarding officially complete.</v>
          </cell>
          <cell r="D164" t="str">
            <v>Completion</v>
          </cell>
        </row>
        <row r="165">
          <cell r="B165">
            <v>406311</v>
          </cell>
          <cell r="C165" t="str">
            <v>Onboarding finalized after a short verification call this Tuesday. Every document is signed, dated, and on file. Ready for service assignment.</v>
          </cell>
          <cell r="D165" t="str">
            <v>Completion</v>
          </cell>
        </row>
        <row r="166">
          <cell r="B166">
            <v>923560</v>
          </cell>
          <cell r="C166" t="str">
            <v>Full document set received and reconciled against the master vendor record; the Spend authorization needed a quick correction, now resolved. No further discrepancies found. Onboarding officially complete.</v>
          </cell>
          <cell r="D166" t="str">
            <v>Completion</v>
          </cell>
        </row>
        <row r="167">
          <cell r="B167">
            <v>673942</v>
          </cell>
          <cell r="C167" t="str">
            <v>Packet complete after the W-9 was uploaded, closing the final open item. Documents were cross-checked against contract requirements and approved. Vendor moved to active status.</v>
          </cell>
          <cell r="D167" t="str">
            <v>Completion</v>
          </cell>
        </row>
        <row r="168">
          <cell r="B168">
            <v>532054</v>
          </cell>
          <cell r="C168" t="str">
            <v>Full document set received and reconciled against the master vendor record; the COI needed a quick correction, now resolved. No further discrepancies found. Onboarding officially complete.</v>
          </cell>
          <cell r="D168" t="str">
            <v>Completion</v>
          </cell>
        </row>
        <row r="169">
          <cell r="B169">
            <v>304038</v>
          </cell>
          <cell r="C169" t="str">
            <v>Contact delivered the COI ahead of the deadline, completing the packet. Coverage and W-9 details confirmed current. Cleared for daily operations support.</v>
          </cell>
          <cell r="D169" t="str">
            <v>Completion</v>
          </cell>
        </row>
        <row r="170">
          <cell r="B170">
            <v>777665</v>
          </cell>
          <cell r="C170" t="str">
            <v>Contact delivered the W-9 ahead of the deadline, completing the packet. Coverage and W-9 details confirmed current. Cleared for daily operations support.</v>
          </cell>
          <cell r="D170" t="str">
            <v>Completion</v>
          </cell>
        </row>
        <row r="171">
          <cell r="B171">
            <v>716494</v>
          </cell>
          <cell r="C171" t="str">
            <v>Full document set received and reconciled against the master vendor record; the W-9 needed a quick correction, now resolved. No further discrepancies found. Onboarding officially complete.</v>
          </cell>
          <cell r="D171" t="str">
            <v>Completion</v>
          </cell>
        </row>
        <row r="172">
          <cell r="B172">
            <v>516512</v>
          </cell>
          <cell r="C172" t="str">
            <v>All onboarding documents — COI, W-9, and Spend authorization — are received and verified, with the Spend authorization arriving last. Compliance review passed with no exceptions. Vendor is fully onboarded and cleared for service.</v>
          </cell>
          <cell r="D172" t="str">
            <v>Completion</v>
          </cell>
        </row>
        <row r="173">
          <cell r="B173">
            <v>650138</v>
          </cell>
          <cell r="C173" t="str">
            <v>Everything is in — the W-9 arrived this Wednesday and matched our records. Contact was proactive throughout. Onboarding complete.</v>
          </cell>
          <cell r="D173" t="str">
            <v>Completion</v>
          </cell>
        </row>
        <row r="174">
          <cell r="B174">
            <v>379409</v>
          </cell>
          <cell r="C174" t="str">
            <v>Everything is in — the COI arrived this Friday and matched our records. Contact was proactive throughout. Onboarding complete.</v>
          </cell>
          <cell r="D174" t="str">
            <v>Completion</v>
          </cell>
        </row>
        <row r="175">
          <cell r="B175">
            <v>114818</v>
          </cell>
          <cell r="C175" t="str">
            <v>All onboarding documents — COI, W-9, and Spend authorization — are received and verified, with the Spend authorization arriving last. Compliance review passed with no exceptions. Vendor is fully onboarded and cleared for service.</v>
          </cell>
          <cell r="D175" t="str">
            <v>Completion</v>
          </cell>
        </row>
        <row r="176">
          <cell r="B176">
            <v>297687</v>
          </cell>
          <cell r="C176" t="str">
            <v>Everything is in — the Spend authorization arrived this Monday and matched our records. Contact was proactive throughout. Onboarding complete.</v>
          </cell>
          <cell r="D176" t="str">
            <v>Completion</v>
          </cell>
        </row>
        <row r="177">
          <cell r="B177">
            <v>632364</v>
          </cell>
          <cell r="C177" t="str">
            <v>Full document set received and reconciled against the master vendor record; the W-9 needed a quick correction, now resolved. No further discrepancies found. Onboarding officially complete.</v>
          </cell>
          <cell r="D177" t="str">
            <v>Completion</v>
          </cell>
        </row>
        <row r="178">
          <cell r="B178">
            <v>151262</v>
          </cell>
          <cell r="C178" t="str">
            <v>Onboarding finalized after a short verification call this Wednesday. Every document is signed, dated, and on file. Ready for service assignment.</v>
          </cell>
          <cell r="D178" t="str">
            <v>Completion</v>
          </cell>
        </row>
        <row r="179">
          <cell r="B179">
            <v>935413</v>
          </cell>
          <cell r="C179" t="str">
            <v>Confirmed all required paperwork on file once the COI came through the portal. Insurance limits and tax details verified. Onboarding closed out.</v>
          </cell>
          <cell r="D179" t="str">
            <v>Completion</v>
          </cell>
        </row>
        <row r="180">
          <cell r="B180">
            <v>538072</v>
          </cell>
          <cell r="C180" t="str">
            <v>All onboarding documents — COI, W-9, and Spend authorization — are received and verified, with the W-9 arriving last. Compliance review passed with no exceptions. Vendor is fully onboarded and cleared for service.</v>
          </cell>
          <cell r="D180" t="str">
            <v>Completion</v>
          </cell>
        </row>
        <row r="181">
          <cell r="B181">
            <v>114714</v>
          </cell>
          <cell r="C181" t="str">
            <v>Contact uploaded the COI and the Spend authorization; the W-9 to follow once signed. Communication has been solid. Next check-in next week.</v>
          </cell>
          <cell r="D181" t="str">
            <v>Received</v>
          </cell>
        </row>
        <row r="182">
          <cell r="B182">
            <v>621773</v>
          </cell>
          <cell r="C182" t="str">
            <v>The coi received and verified; the Spend authorization and the W-9 still outstanding. Contact confirmed the remainder will be submitted by next week. Following up then.</v>
          </cell>
          <cell r="D182" t="str">
            <v>Received</v>
          </cell>
        </row>
        <row r="183">
          <cell r="B183">
            <v>586450</v>
          </cell>
          <cell r="C183" t="str">
            <v>The coi and the spend authorization cleared compliance review. The w-9 was flagged as still needed and re-requested. Contact responsive and engaged.</v>
          </cell>
          <cell r="D183" t="str">
            <v>Received</v>
          </cell>
        </row>
        <row r="184">
          <cell r="B184">
            <v>614102</v>
          </cell>
          <cell r="C184" t="str">
            <v>The coi and the spend authorization cleared compliance review. The w-9 was flagged as still needed and re-requested. Contact responsive and engaged.</v>
          </cell>
          <cell r="D184" t="str">
            <v>Received</v>
          </cell>
        </row>
        <row r="185">
          <cell r="B185">
            <v>711388</v>
          </cell>
          <cell r="C185" t="str">
            <v>Progressing well: the COI accepted and logged. Outstanding item is the Spend authorization and the W-9, which the contact expects by next week. Steady communication.</v>
          </cell>
          <cell r="D185" t="str">
            <v>Received</v>
          </cell>
        </row>
        <row r="186">
          <cell r="B186">
            <v>715011</v>
          </cell>
          <cell r="C186" t="str">
            <v>Contact uploaded the COI; the Spend authorization and the W-9 to follow once signed. Communication has been solid. Next check-in Friday.</v>
          </cell>
          <cell r="D186" t="str">
            <v>Received</v>
          </cell>
        </row>
        <row r="187">
          <cell r="B187">
            <v>684935</v>
          </cell>
          <cell r="C187" t="str">
            <v>The w-9 received and verified; the Spend authorization and the COI still outstanding. Contact confirmed the remainder will be submitted by Thursday. Following up then.</v>
          </cell>
          <cell r="D187" t="str">
            <v>Received</v>
          </cell>
        </row>
        <row r="188">
          <cell r="B188">
            <v>990900</v>
          </cell>
          <cell r="C188" t="str">
            <v>The coi and the w-9 cleared compliance review. The spend authorization was flagged as still needed and re-requested. Contact responsive and engaged.</v>
          </cell>
          <cell r="D188" t="str">
            <v>Received</v>
          </cell>
        </row>
        <row r="189">
          <cell r="B189">
            <v>882206</v>
          </cell>
          <cell r="C189" t="str">
            <v>Partial packet in — the Spend authorization on file and within requirements. Awaiting the COI and the W-9 from the vendor's team. Reminder set for Tuesday.</v>
          </cell>
          <cell r="D189" t="str">
            <v>Received</v>
          </cell>
        </row>
        <row r="190">
          <cell r="B190">
            <v>602155</v>
          </cell>
          <cell r="C190" t="str">
            <v>Received the Spend authorization through the portal today; the W-9 and the COI still pending. Contact acknowledged the request and is gathering the paperwork. Checking back Tuesday.</v>
          </cell>
          <cell r="D190" t="str">
            <v>Received</v>
          </cell>
        </row>
        <row r="191">
          <cell r="B191">
            <v>574921</v>
          </cell>
          <cell r="C191" t="str">
            <v>The coi pushed back owing to an internal signature backlog on the vendor's side. The rest of the packet is fine. Expecting resolution by Monday.</v>
          </cell>
          <cell r="D191" t="str">
            <v>Delayed</v>
          </cell>
        </row>
        <row r="192">
          <cell r="B192">
            <v>748655</v>
          </cell>
          <cell r="C192" t="str">
            <v>The coi is delayed due to a vendor-side system migration that temporarily locked their files. A short extension was granted and acknowledged. Will re-check status by Monday.</v>
          </cell>
          <cell r="D192" t="str">
            <v>Delayed</v>
          </cell>
        </row>
        <row r="193">
          <cell r="B193">
            <v>494625</v>
          </cell>
          <cell r="C193" t="str">
            <v>Submission of the W-9 stalled because of a legal entity name change working through their system. Contact remains responsive despite the holdup. Re-checking Tuesday.</v>
          </cell>
          <cell r="D193" t="str">
            <v>Delayed</v>
          </cell>
        </row>
        <row r="194">
          <cell r="B194">
            <v>309544</v>
          </cell>
          <cell r="C194" t="str">
            <v>Documents delayed — their broker is reissuing the certificate with corrected coverage limits. Contact confirmed the item is in progress. Monitoring and following up Monday.</v>
          </cell>
          <cell r="D194" t="str">
            <v>Delayed</v>
          </cell>
        </row>
        <row r="195">
          <cell r="B195">
            <v>320436</v>
          </cell>
          <cell r="C195" t="str">
            <v>The spend authorization held up because of an unexpected staffing gap after the contact went on leave. Contact is actively working it and apologized for the lag. New target is next week.</v>
          </cell>
          <cell r="D195" t="str">
            <v>Delayed</v>
          </cell>
        </row>
        <row r="196">
          <cell r="B196">
            <v>796864</v>
          </cell>
          <cell r="C196" t="str">
            <v>Submission of the W-9 stalled because of an internal signature backlog on the vendor's side. Contact remains responsive despite the holdup. Re-checking Wednesday.</v>
          </cell>
          <cell r="D196" t="str">
            <v>Delayed</v>
          </cell>
        </row>
        <row r="197">
          <cell r="B197">
            <v>887507</v>
          </cell>
          <cell r="C197" t="str">
            <v>The coi held up because of a holiday closure at the vendor's corporate office. Contact is actively working it and apologized for the lag. New target is Thursday.</v>
          </cell>
          <cell r="D197" t="str">
            <v>Delayed</v>
          </cell>
        </row>
        <row r="198">
          <cell r="B198">
            <v>372745</v>
          </cell>
          <cell r="C198" t="str">
            <v>The spend authorization is delayed due to a vendor-side system migration that temporarily locked their files. A short extension was granted and acknowledged. Will re-check status by Monday.</v>
          </cell>
          <cell r="D198" t="str">
            <v>Delayed</v>
          </cell>
        </row>
        <row r="199">
          <cell r="B199">
            <v>463874</v>
          </cell>
          <cell r="C199" t="str">
            <v>The spend authorization held up because of a vendor-side system migration that temporarily locked their files. Contact is actively working it and apologized for the lag. New target is Monday.</v>
          </cell>
          <cell r="D199" t="str">
            <v>Delayed</v>
          </cell>
        </row>
        <row r="200">
          <cell r="B200">
            <v>546459</v>
          </cell>
          <cell r="C200" t="str">
            <v>The w-9 is delayed due to a pending budget approval on the vendor's end. A short extension was granted and acknowledged. Will re-check status by Thursday.</v>
          </cell>
          <cell r="D200" t="str">
            <v>Delayed</v>
          </cell>
        </row>
        <row r="201">
          <cell r="B201">
            <v>172884</v>
          </cell>
          <cell r="C201" t="str">
            <v>Submission of the W-9 stalled because of a holiday closure at the vendor's corporate office. Contact remains responsive despite the holdup. Re-checking next week.</v>
          </cell>
          <cell r="D201" t="str">
            <v>Delayed</v>
          </cell>
        </row>
        <row r="202">
          <cell r="B202">
            <v>622632</v>
          </cell>
          <cell r="C202" t="str">
            <v>The w-9 is held for a same-day signature; contact expects it uploaded by EOD. The other forms are approved. Standing by to finalize today.</v>
          </cell>
          <cell r="D202" t="str">
            <v>Delayed – EOD</v>
          </cell>
        </row>
        <row r="203">
          <cell r="B203">
            <v>684529</v>
          </cell>
          <cell r="C203" t="str">
            <v>Contact guaranteed the outstanding Spend authorization by close of business. Other documents are accepted and validated. Will confirm and complete EOD.</v>
          </cell>
          <cell r="D203" t="str">
            <v>Delayed – EOD</v>
          </cell>
        </row>
        <row r="204">
          <cell r="B204">
            <v>517488</v>
          </cell>
          <cell r="C204" t="str">
            <v>Awaiting the W-9, which the contact committed to sending by end of day. The rest of the packet is complete. EOD verification scheduled.</v>
          </cell>
          <cell r="D204" t="str">
            <v>Delayed – EOD</v>
          </cell>
        </row>
        <row r="205">
          <cell r="B205">
            <v>578985</v>
          </cell>
          <cell r="C205" t="str">
            <v>The spend authorization is running late; contact promised delivery by close of business. Everything else has cleared review. Following up this afternoon.</v>
          </cell>
          <cell r="D205" t="str">
            <v>Delayed – EOD</v>
          </cell>
        </row>
        <row r="206">
          <cell r="B206">
            <v>306251</v>
          </cell>
          <cell r="C206" t="str">
            <v>Contact guaranteed the outstanding W-9 by close of business. Other documents are accepted and validated. Will confirm and complete EOD.</v>
          </cell>
          <cell r="D206" t="str">
            <v>Delayed – EOD</v>
          </cell>
        </row>
        <row r="207">
          <cell r="B207">
            <v>921426</v>
          </cell>
          <cell r="C207" t="str">
            <v>The w-9 is running late; contact promised delivery by close of business. Everything else has cleared review. Following up this afternoon.</v>
          </cell>
          <cell r="D207" t="str">
            <v>Delayed – EOD</v>
          </cell>
        </row>
        <row r="208">
          <cell r="B208">
            <v>671536</v>
          </cell>
          <cell r="C208" t="str">
            <v>Awaiting the COI, which the contact committed to sending by end of day. The rest of the packet is complete. EOD verification scheduled.</v>
          </cell>
          <cell r="D208" t="str">
            <v>Delayed – EOD</v>
          </cell>
        </row>
        <row r="209">
          <cell r="B209">
            <v>629238</v>
          </cell>
          <cell r="C209" t="str">
            <v>The w-9 is delayed, but the contact confirmed upload by end of day today. Remaining documents are on file and verified. Will check and close EOD.</v>
          </cell>
          <cell r="D209" t="str">
            <v>Delayed – EOD</v>
          </cell>
        </row>
        <row r="210">
          <cell r="B210">
            <v>473960</v>
          </cell>
          <cell r="C210" t="str">
            <v>Awaiting the W-9, which the contact committed to sending by end of day. The rest of the packet is complete. EOD verification scheduled.</v>
          </cell>
          <cell r="D210" t="str">
            <v>Delayed – EOD</v>
          </cell>
        </row>
        <row r="211">
          <cell r="B211">
            <v>363730</v>
          </cell>
          <cell r="C211" t="str">
            <v>Awaiting the COI, which the contact committed to sending by end of day. The rest of the packet is complete. EOD verification scheduled.</v>
          </cell>
          <cell r="D211" t="str">
            <v>Delayed – EOD</v>
          </cell>
        </row>
        <row r="212">
          <cell r="B212">
            <v>858237</v>
          </cell>
          <cell r="C212" t="str">
            <v>Awaiting the Spend authorization, which the contact committed to sending by end of day. The rest of the packet is complete. EOD verification scheduled.</v>
          </cell>
          <cell r="D212" t="str">
            <v>Delayed – EOD</v>
          </cell>
        </row>
        <row r="213">
          <cell r="B213">
            <v>636685</v>
          </cell>
          <cell r="C213" t="str">
            <v>The spend authorization is running late; contact promised delivery by close of business. Everything else has cleared review. Following up this afternoon.</v>
          </cell>
          <cell r="D213" t="str">
            <v>Delayed – EOD</v>
          </cell>
        </row>
        <row r="214">
          <cell r="B214">
            <v>944246</v>
          </cell>
          <cell r="C214" t="str">
            <v>The spend authorization received and verified; the W-9 and the COI still outstanding. Contact confirmed the remainder will be submitted by Friday. Following up then.</v>
          </cell>
          <cell r="D214" t="str">
            <v>Received</v>
          </cell>
        </row>
        <row r="215">
          <cell r="B215">
            <v>719982</v>
          </cell>
          <cell r="C215" t="str">
            <v>The coi and the spend authorization cleared compliance review. The w-9 was flagged as still needed and re-requested. Contact responsive and engaged.</v>
          </cell>
          <cell r="D215" t="str">
            <v>Received</v>
          </cell>
        </row>
        <row r="216">
          <cell r="B216">
            <v>744039</v>
          </cell>
          <cell r="C216" t="str">
            <v>Good progress — the Spend authorization confirmed and filed. The coi and the w-9 sits in the vendor's internal approval queue, expected by Wednesday. No concerns yet.</v>
          </cell>
          <cell r="D216" t="str">
            <v>Received</v>
          </cell>
        </row>
        <row r="217">
          <cell r="B217">
            <v>699385</v>
          </cell>
          <cell r="C217" t="str">
            <v>Good progress — the Spend authorization confirmed and filed. The coi and the w-9 sits in the vendor's internal approval queue, expected by Wednesday. No concerns yet.</v>
          </cell>
          <cell r="D217" t="str">
            <v>Received</v>
          </cell>
        </row>
        <row r="218">
          <cell r="B218">
            <v>845393</v>
          </cell>
          <cell r="C218" t="str">
            <v>Contact uploaded the W-9 and the Spend authorization; the COI to follow once signed. Communication has been solid. Next check-in Wednesday.</v>
          </cell>
          <cell r="D218" t="str">
            <v>Received</v>
          </cell>
        </row>
        <row r="219">
          <cell r="B219">
            <v>419720</v>
          </cell>
          <cell r="C219" t="str">
            <v>Contact uploaded the COI; the Spend authorization and the W-9 to follow once signed. Communication has been solid. Next check-in next week.</v>
          </cell>
          <cell r="D219" t="str">
            <v>Received</v>
          </cell>
        </row>
        <row r="220">
          <cell r="B220">
            <v>714169</v>
          </cell>
          <cell r="C220" t="str">
            <v>The coi cleared compliance review. The w-9 and the spend authorization was flagged as still needed and re-requested. Contact responsive and engaged.</v>
          </cell>
          <cell r="D220" t="str">
            <v>Received</v>
          </cell>
        </row>
        <row r="221">
          <cell r="B221">
            <v>826293</v>
          </cell>
          <cell r="C221" t="str">
            <v>First batch received: the Spend authorization logged and approved. Still awaiting the COI and the W-9. Contact committed to finishing by Monday.</v>
          </cell>
          <cell r="D221" t="str">
            <v>Received</v>
          </cell>
        </row>
        <row r="222">
          <cell r="B222">
            <v>590419</v>
          </cell>
          <cell r="C222" t="str">
            <v>Progressing well: the Spend authorization accepted and logged. Outstanding item is the W-9 and the COI, which the contact expects by Friday. Steady communication.</v>
          </cell>
          <cell r="D222" t="str">
            <v>Received</v>
          </cell>
        </row>
        <row r="223">
          <cell r="B223">
            <v>818461</v>
          </cell>
          <cell r="C223" t="str">
            <v>Progressing well: the Spend authorization accepted and logged. Outstanding item is the COI and the W-9, which the contact expects by Wednesday. Steady communication.</v>
          </cell>
          <cell r="D223" t="str">
            <v>Received</v>
          </cell>
        </row>
        <row r="224">
          <cell r="B224">
            <v>196645</v>
          </cell>
          <cell r="C224" t="str">
            <v>Received the COI and the Spend authorization through the portal today; the W-9 still pending. Contact acknowledged the request and is gathering the paperwork. Checking back Wednesday.</v>
          </cell>
          <cell r="D224" t="str">
            <v>Received</v>
          </cell>
        </row>
        <row r="225">
          <cell r="B225">
            <v>602467</v>
          </cell>
          <cell r="C225" t="str">
            <v>Good progress — the W-9 confirmed and filed. The coi and the spend authorization sits in the vendor's internal approval queue, expected by Monday. No concerns yet.</v>
          </cell>
          <cell r="D225" t="str">
            <v>Received</v>
          </cell>
        </row>
        <row r="226">
          <cell r="B226">
            <v>203152</v>
          </cell>
          <cell r="C226" t="str">
            <v>Partial packet in — the COI and the Spend authorization on file and within requirements. Awaiting the W-9 from the vendor's team. Reminder set for next week.</v>
          </cell>
          <cell r="D226" t="str">
            <v>Received</v>
          </cell>
        </row>
        <row r="227">
          <cell r="B227">
            <v>971789</v>
          </cell>
          <cell r="C227" t="str">
            <v>The coi and the w-9 cleared compliance review. The spend authorization was flagged as still needed and re-requested. Contact responsive and engaged.</v>
          </cell>
          <cell r="D227" t="str">
            <v>Received</v>
          </cell>
        </row>
        <row r="228">
          <cell r="B228">
            <v>739771</v>
          </cell>
          <cell r="C228" t="str">
            <v>First batch received: the W-9 and the Spend authorization logged and approved. Still awaiting the COI. Contact committed to finishing by Thursday.</v>
          </cell>
          <cell r="D228" t="str">
            <v>Received</v>
          </cell>
        </row>
        <row r="229">
          <cell r="B229">
            <v>650186</v>
          </cell>
          <cell r="C229" t="str">
            <v>Received the COI and the Spend authorization through the portal today; the W-9 still pending. Contact acknowledged the request and is gathering the paperwork. Checking back Tuesday.</v>
          </cell>
          <cell r="D229" t="str">
            <v>Received</v>
          </cell>
        </row>
        <row r="230">
          <cell r="B230">
            <v>947206</v>
          </cell>
          <cell r="C230" t="str">
            <v>The coi cleared compliance review. The w-9 and the spend authorization was flagged as still needed and re-requested. Contact responsive and engaged.</v>
          </cell>
          <cell r="D230" t="str">
            <v>Received</v>
          </cell>
        </row>
        <row r="231">
          <cell r="B231">
            <v>621307</v>
          </cell>
          <cell r="C231" t="str">
            <v>The coi received and verified; the W-9 and the Spend authorization still outstanding. Contact confirmed the remainder will be submitted by Tuesday. Following up then.</v>
          </cell>
          <cell r="D231" t="str">
            <v>Received</v>
          </cell>
        </row>
        <row r="232">
          <cell r="B232">
            <v>401193</v>
          </cell>
          <cell r="C232" t="str">
            <v>Contact uploaded the Spend authorization; the COI and the W-9 to follow once signed. Communication has been solid. Next check-in Monday.</v>
          </cell>
          <cell r="D232" t="str">
            <v>Received</v>
          </cell>
        </row>
        <row r="233">
          <cell r="B233">
            <v>359876</v>
          </cell>
          <cell r="C233" t="str">
            <v>First batch received: the W-9 and the Spend authorization logged and approved. Still awaiting the COI. Contact committed to finishing by Thursday.</v>
          </cell>
          <cell r="D233" t="str">
            <v>Received</v>
          </cell>
        </row>
        <row r="234">
          <cell r="B234">
            <v>645291</v>
          </cell>
          <cell r="C234" t="str">
            <v>Good progress — the W-9 and the Spend authorization confirmed and filed. The coi sits in the vendor's internal approval queue, expected by Monday. No concerns yet.</v>
          </cell>
          <cell r="D234" t="str">
            <v>Received</v>
          </cell>
        </row>
        <row r="235">
          <cell r="B235">
            <v>460779</v>
          </cell>
          <cell r="C235" t="str">
            <v>Received the COI and the Spend authorization through the portal today; the W-9 still pending. Contact acknowledged the request and is gathering the paperwork. Checking back Monday.</v>
          </cell>
          <cell r="D235" t="str">
            <v>Received</v>
          </cell>
        </row>
        <row r="236">
          <cell r="B236">
            <v>167418</v>
          </cell>
          <cell r="C236" t="str">
            <v>First batch received: the COI and the Spend authorization logged and approved. Still awaiting the W-9. Contact committed to finishing by Thursday.</v>
          </cell>
          <cell r="D236" t="str">
            <v>Received</v>
          </cell>
        </row>
        <row r="237">
          <cell r="B237">
            <v>555322</v>
          </cell>
          <cell r="C237" t="str">
            <v>Progressing well: the COI and the Spend authorization accepted and logged. Outstanding item is the W-9, which the contact expects by next week. Steady communication.</v>
          </cell>
          <cell r="D237" t="str">
            <v>Received</v>
          </cell>
        </row>
        <row r="238">
          <cell r="B238">
            <v>283180</v>
          </cell>
          <cell r="C238" t="str">
            <v>The coi and the w-9 received and verified; the Spend authorization still outstanding. Contact confirmed the remainder will be submitted by Friday. Following up then.</v>
          </cell>
          <cell r="D238" t="str">
            <v>Received</v>
          </cell>
        </row>
        <row r="239">
          <cell r="B239">
            <v>621739</v>
          </cell>
          <cell r="C239" t="str">
            <v>The spend authorization cleared compliance review. The coi and the w-9 was flagged as still needed and re-requested. Contact responsive and engaged.</v>
          </cell>
          <cell r="D239" t="str">
            <v>Received</v>
          </cell>
        </row>
        <row r="240">
          <cell r="B240">
            <v>886585</v>
          </cell>
          <cell r="C240" t="str">
            <v>First batch received: the COI and the Spend authorization logged and approved. Still awaiting the W-9. Contact committed to finishing by Monday.</v>
          </cell>
          <cell r="D240" t="str">
            <v>Received</v>
          </cell>
        </row>
        <row r="241">
          <cell r="B241">
            <v>481201</v>
          </cell>
          <cell r="C241" t="str">
            <v>Received the Spend authorization through the portal today; the COI and the W-9 still pending. Contact acknowledged the request and is gathering the paperwork. Checking back Thursday.</v>
          </cell>
          <cell r="D241" t="str">
            <v>Received</v>
          </cell>
        </row>
        <row r="242">
          <cell r="B242">
            <v>985391</v>
          </cell>
          <cell r="C242" t="str">
            <v>Received the W-9 and the Spend authorization through the portal today; the COI still pending. Contact acknowledged the request and is gathering the paperwork. Checking back Friday.</v>
          </cell>
          <cell r="D242" t="str">
            <v>Received</v>
          </cell>
        </row>
        <row r="243">
          <cell r="B243">
            <v>702179</v>
          </cell>
          <cell r="C243" t="str">
            <v>Good progress — the COI confirmed and filed. The spend authorization and the w-9 sits in the vendor's internal approval queue, expected by next week. No concerns yet.</v>
          </cell>
          <cell r="D243" t="str">
            <v>Received</v>
          </cell>
        </row>
        <row r="244">
          <cell r="B244">
            <v>187100</v>
          </cell>
          <cell r="C244" t="str">
            <v>Received the COI through the portal today; the W-9 and the Spend authorization still pending. Contact acknowledged the request and is gathering the paperwork. Checking back Tuesday.</v>
          </cell>
          <cell r="D244" t="str">
            <v>Received</v>
          </cell>
        </row>
        <row r="245">
          <cell r="B245">
            <v>727278</v>
          </cell>
          <cell r="C245" t="str">
            <v>The coi and the w-9 cleared compliance review. The spend authorization was flagged as still needed and re-requested. Contact responsive and engaged.</v>
          </cell>
          <cell r="D245" t="str">
            <v>Received</v>
          </cell>
        </row>
        <row r="246">
          <cell r="B246">
            <v>640198</v>
          </cell>
          <cell r="C246" t="str">
            <v>Partial packet in — the W-9 and the Spend authorization on file and within requirements. Awaiting the COI from the vendor's team. Reminder set for next week.</v>
          </cell>
          <cell r="D246" t="str">
            <v>Received</v>
          </cell>
        </row>
        <row r="247">
          <cell r="B247">
            <v>822818</v>
          </cell>
          <cell r="C247" t="str">
            <v>Good progress — the COI and the W-9 confirmed and filed. The spend authorization sits in the vendor's internal approval queue, expected by Wednesday. No concerns yet.</v>
          </cell>
          <cell r="D247" t="str">
            <v>Received</v>
          </cell>
        </row>
        <row r="248">
          <cell r="B248">
            <v>211289</v>
          </cell>
          <cell r="C248" t="str">
            <v>Contact uploaded the W-9 and the Spend authorization; the COI to follow once signed. Communication has been solid. Next check-in Wednesday.</v>
          </cell>
          <cell r="D248" t="str">
            <v>Received</v>
          </cell>
        </row>
        <row r="249">
          <cell r="B249">
            <v>268181</v>
          </cell>
          <cell r="C249" t="str">
            <v>Good progress — the COI and the W-9 confirmed and filed. The spend authorization sits in the vendor's internal approval queue, expected by Friday. No concerns yet.</v>
          </cell>
          <cell r="D249" t="str">
            <v>Received</v>
          </cell>
        </row>
        <row r="250">
          <cell r="B250">
            <v>614750</v>
          </cell>
          <cell r="C250" t="str">
            <v>Received the COI and the W-9 through the portal today; the Spend authorization still pending. Contact acknowledged the request and is gathering the paperwork. Checking back Thursday.</v>
          </cell>
          <cell r="D250" t="str">
            <v>Received</v>
          </cell>
        </row>
        <row r="251">
          <cell r="B251">
            <v>987529</v>
          </cell>
          <cell r="C251" t="str">
            <v>Partial packet in — the COI and the W-9 on file and within requirements. Awaiting the Spend authorization from the vendor's team. Reminder set for Tuesday.</v>
          </cell>
          <cell r="D251" t="str">
            <v>Received</v>
          </cell>
        </row>
        <row r="252">
          <cell r="B252">
            <v>521611</v>
          </cell>
          <cell r="C252" t="str">
            <v>Good progress — the Spend authorization confirmed and filed. The w-9 and the coi sits in the vendor's internal approval queue, expected by Thursday. No concerns yet.</v>
          </cell>
          <cell r="D252" t="str">
            <v>Received</v>
          </cell>
        </row>
        <row r="253">
          <cell r="B253">
            <v>609156</v>
          </cell>
          <cell r="C253" t="str">
            <v>Received the W-9 through the portal today; the Spend authorization and the COI still pending. Contact acknowledged the request and is gathering the paperwork. Checking back Thursday.</v>
          </cell>
          <cell r="D253" t="str">
            <v>Received</v>
          </cell>
        </row>
        <row r="254">
          <cell r="B254">
            <v>202814</v>
          </cell>
          <cell r="C254" t="str">
            <v>Everything is in — the Spend authorization arrived this Wednesday and matched our records. Contact was proactive throughout. Onboarding complete.</v>
          </cell>
          <cell r="D254" t="str">
            <v>Completion</v>
          </cell>
        </row>
        <row r="255">
          <cell r="B255">
            <v>147434</v>
          </cell>
          <cell r="C255" t="str">
            <v>Received and accepted the COI, closing out the packet. No exceptions in compliance review. Vendor status set to active.</v>
          </cell>
          <cell r="D255" t="str">
            <v>Completion</v>
          </cell>
        </row>
        <row r="256">
          <cell r="B256">
            <v>956436</v>
          </cell>
          <cell r="C256" t="str">
            <v>Contact delivered the Spend authorization ahead of the deadline, completing the packet. Coverage and W-9 details confirmed current. Cleared for daily operations support.</v>
          </cell>
          <cell r="D256" t="str">
            <v>Completion</v>
          </cell>
        </row>
        <row r="257">
          <cell r="B257">
            <v>235412</v>
          </cell>
          <cell r="C257" t="str">
            <v>Everything is in — the Spend authorization arrived this Friday and matched our records. Contact was proactive throughout. Onboarding complete.</v>
          </cell>
          <cell r="D257" t="str">
            <v>Completion</v>
          </cell>
        </row>
        <row r="258">
          <cell r="B258">
            <v>576172</v>
          </cell>
          <cell r="C258" t="str">
            <v>Onboarding finalized after a short verification call this Tuesday. Every document is signed, dated, and on file. Ready for service assignment.</v>
          </cell>
          <cell r="D258" t="str">
            <v>Completion</v>
          </cell>
        </row>
        <row r="259">
          <cell r="B259">
            <v>134717</v>
          </cell>
          <cell r="C259" t="str">
            <v>All three required documents were approved on first pass, the Spend authorization included. The Certificate of Insurance names the arena as additional insured, as required. Vendor is good to go.</v>
          </cell>
          <cell r="D259" t="str">
            <v>Completion</v>
          </cell>
        </row>
        <row r="260">
          <cell r="B260">
            <v>267899</v>
          </cell>
          <cell r="C260" t="str">
            <v>Packet complete after the Spend authorization was uploaded, closing the final open item. Documents were cross-checked against contract requirements and approved. Vendor moved to active status.</v>
          </cell>
          <cell r="D260" t="str">
            <v>Completion</v>
          </cell>
        </row>
        <row r="261">
          <cell r="B261">
            <v>404159</v>
          </cell>
          <cell r="C261" t="str">
            <v>Full document set received and reconciled against the master vendor record; the COI needed a quick correction, now resolved. No further discrepancies found. Onboarding officially complete.</v>
          </cell>
          <cell r="D261" t="str">
            <v>Completion</v>
          </cell>
        </row>
        <row r="262">
          <cell r="B262">
            <v>295040</v>
          </cell>
          <cell r="C262" t="str">
            <v>All onboarding documents — COI, W-9, and Spend authorization — are received and verified, with the Spend authorization arriving last. Compliance review passed with no exceptions. Vendor is fully onboarded and cleared for service.</v>
          </cell>
          <cell r="D262" t="str">
            <v>Completion</v>
          </cell>
        </row>
        <row r="263">
          <cell r="B263">
            <v>800949</v>
          </cell>
          <cell r="C263" t="str">
            <v>Received and accepted the Spend authorization, closing out the packet. No exceptions in compliance review. Vendor status set to active.</v>
          </cell>
          <cell r="D263" t="str">
            <v>Completion</v>
          </cell>
        </row>
        <row r="264">
          <cell r="B264">
            <v>418422</v>
          </cell>
          <cell r="C264" t="str">
            <v>The w-9 pushed back owing to a legal entity name change working through their system. The rest of the packet is fine. Expecting resolution by next week.</v>
          </cell>
          <cell r="D264" t="str">
            <v>Delayed</v>
          </cell>
        </row>
        <row r="265">
          <cell r="B265">
            <v>102657</v>
          </cell>
          <cell r="C265" t="str">
            <v>The coi is delayed due to a holiday closure at the vendor's corporate office. A short extension was granted and acknowledged. Will re-check status by next week.</v>
          </cell>
          <cell r="D265" t="str">
            <v>Delayed</v>
          </cell>
        </row>
        <row r="266">
          <cell r="B266">
            <v>903946</v>
          </cell>
          <cell r="C266" t="str">
            <v>The coi held up because of a legal entity name change working through their system. Contact is actively working it and apologized for the lag. New target is Friday.</v>
          </cell>
          <cell r="D266" t="str">
            <v>Delayed</v>
          </cell>
        </row>
        <row r="267">
          <cell r="B267">
            <v>135811</v>
          </cell>
          <cell r="C267" t="str">
            <v>Confirmed all required paperwork on file once the W-9 came through the portal. Insurance limits and tax details verified. Onboarding closed out.</v>
          </cell>
          <cell r="D267" t="str">
            <v>Completion</v>
          </cell>
        </row>
        <row r="268">
          <cell r="B268">
            <v>592873</v>
          </cell>
          <cell r="C268" t="str">
            <v>Onboarding finalized after a short verification call this Monday. Every document is signed, dated, and on file. Ready for service assignment.</v>
          </cell>
          <cell r="D268" t="str">
            <v>Completion</v>
          </cell>
        </row>
        <row r="269">
          <cell r="B269">
            <v>638535</v>
          </cell>
          <cell r="C269" t="str">
            <v>Confirmed all required paperwork on file once the Spend authorization came through the portal. Insurance limits and tax details verified. Onboarding closed out.</v>
          </cell>
          <cell r="D269" t="str">
            <v>Completion</v>
          </cell>
        </row>
        <row r="270">
          <cell r="B270">
            <v>990758</v>
          </cell>
          <cell r="C270" t="str">
            <v>All three required documents were approved on first pass, the Spend authorization included. The Certificate of Insurance names the arena as additional insured, as required. Vendor is good to go.</v>
          </cell>
          <cell r="D270" t="str">
            <v>Completion</v>
          </cell>
        </row>
        <row r="271">
          <cell r="B271">
            <v>554103</v>
          </cell>
          <cell r="C271" t="str">
            <v>All onboarding documents — COI, W-9, and Spend authorization — are received and verified, with the Spend authorization arriving last. Compliance review passed with no exceptions. Vendor is fully onboarded and cleared for service.</v>
          </cell>
          <cell r="D271" t="str">
            <v>Completion</v>
          </cell>
        </row>
        <row r="272">
          <cell r="B272">
            <v>249330</v>
          </cell>
          <cell r="C272" t="str">
            <v>Full document set received and reconciled against the master vendor record; the COI needed a quick correction, now resolved. No further discrepancies found. Onboarding officially complete.</v>
          </cell>
          <cell r="D272" t="str">
            <v>Completion</v>
          </cell>
        </row>
        <row r="273">
          <cell r="B273">
            <v>235265</v>
          </cell>
          <cell r="C273" t="str">
            <v>Received and accepted the W-9, closing out the packet. No exceptions in compliance review. Vendor status set to active.</v>
          </cell>
          <cell r="D273" t="str">
            <v>Completion</v>
          </cell>
        </row>
        <row r="274">
          <cell r="B274">
            <v>550268</v>
          </cell>
          <cell r="C274" t="str">
            <v>Everything is in — the Spend authorization arrived this Friday and matched our records. Contact was proactive throughout. Onboarding complete.</v>
          </cell>
          <cell r="D274" t="str">
            <v>Completion</v>
          </cell>
        </row>
        <row r="275">
          <cell r="B275">
            <v>531290</v>
          </cell>
          <cell r="C275" t="str">
            <v>All three required documents were approved on first pass, the Spend authorization included. The Certificate of Insurance names the arena as additional insured, as required. Vendor is good to go.</v>
          </cell>
          <cell r="D275" t="str">
            <v>Completion</v>
          </cell>
        </row>
        <row r="276">
          <cell r="B276">
            <v>951340</v>
          </cell>
          <cell r="C276" t="str">
            <v>Contact delivered the COI ahead of the deadline, completing the packet. Coverage and W-9 details confirmed current. Cleared for daily operations support.</v>
          </cell>
          <cell r="D276" t="str">
            <v>Completion</v>
          </cell>
        </row>
        <row r="277">
          <cell r="B277">
            <v>779719</v>
          </cell>
          <cell r="C277" t="str">
            <v>Full document set received and reconciled against the master vendor record; the Spend authorization needed a quick correction, now resolved. No further discrepancies found. Onboarding officially complete.</v>
          </cell>
          <cell r="D277" t="str">
            <v>Completion</v>
          </cell>
        </row>
        <row r="278">
          <cell r="B278">
            <v>317040</v>
          </cell>
          <cell r="C278" t="str">
            <v>The spend authorization was the last piece and it cleared review this Tuesday. COI, W-9, and Spend authorization are all validated. Vendor activated and notified.</v>
          </cell>
          <cell r="D278" t="str">
            <v>Completion</v>
          </cell>
        </row>
        <row r="279">
          <cell r="B279">
            <v>443681</v>
          </cell>
          <cell r="C279" t="str">
            <v>Contact delivered the Spend authorization ahead of the deadline, completing the packet. Coverage and W-9 details confirmed current. Cleared for daily operations support.</v>
          </cell>
          <cell r="D279" t="str">
            <v>Completion</v>
          </cell>
        </row>
        <row r="280">
          <cell r="B280">
            <v>751243</v>
          </cell>
          <cell r="C280" t="str">
            <v>All onboarding documents — COI, W-9, and Spend authorization — are received and verified, with the Spend authorization arriving last. Compliance review passed with no exceptions. Vendor is fully onboarded and cleared for service.</v>
          </cell>
          <cell r="D280" t="str">
            <v>Completion</v>
          </cell>
        </row>
        <row r="281">
          <cell r="B281">
            <v>184644</v>
          </cell>
          <cell r="C281" t="str">
            <v>Received and accepted the W-9, closing out the packet. No exceptions in compliance review. Vendor status set to active.</v>
          </cell>
          <cell r="D281" t="str">
            <v>Completion</v>
          </cell>
        </row>
        <row r="282">
          <cell r="B282">
            <v>863336</v>
          </cell>
          <cell r="C282" t="str">
            <v>All three required documents were approved on first pass, the COI included. The Certificate of Insurance names the arena as additional insured, as required. Vendor is good to go.</v>
          </cell>
          <cell r="D282" t="str">
            <v>Completion</v>
          </cell>
        </row>
        <row r="283">
          <cell r="B283">
            <v>607343</v>
          </cell>
          <cell r="C283" t="str">
            <v>Packet complete after the Spend authorization was uploaded, closing the final open item. Documents were cross-checked against contract requirements and approved. Vendor moved to active status.</v>
          </cell>
          <cell r="D283" t="str">
            <v>Completion</v>
          </cell>
        </row>
        <row r="284">
          <cell r="B284">
            <v>655678</v>
          </cell>
          <cell r="C284" t="str">
            <v>Packet complete after the COI was uploaded, closing the final open item. Documents were cross-checked against contract requirements and approved. Vendor moved to active status.</v>
          </cell>
          <cell r="D284" t="str">
            <v>Completion</v>
          </cell>
        </row>
        <row r="285">
          <cell r="B285">
            <v>207622</v>
          </cell>
          <cell r="C285" t="str">
            <v>All onboarding documents — COI, W-9, and Spend authorization — are received and verified, with the COI arriving last. Compliance review passed with no exceptions. Vendor is fully onboarded and cleared for service.</v>
          </cell>
          <cell r="D285" t="str">
            <v>Completion</v>
          </cell>
        </row>
        <row r="286">
          <cell r="B286">
            <v>469046</v>
          </cell>
          <cell r="C286" t="str">
            <v>All three required documents were approved on first pass, the Spend authorization included. The Certificate of Insurance names the arena as additional insured, as required. Vendor is good to go.</v>
          </cell>
          <cell r="D286" t="str">
            <v>Completion</v>
          </cell>
        </row>
        <row r="287">
          <cell r="B287">
            <v>387134</v>
          </cell>
          <cell r="C287" t="str">
            <v>Progressing well: the COI accepted and logged. Outstanding item is the Spend authorization and the W-9, which the contact expects by next week. Steady communication.</v>
          </cell>
          <cell r="D287" t="str">
            <v>Received</v>
          </cell>
        </row>
        <row r="288">
          <cell r="B288">
            <v>195089</v>
          </cell>
          <cell r="C288" t="str">
            <v>Received the COI and the Spend authorization through the portal today; the W-9 still pending. Contact acknowledged the request and is gathering the paperwork. Checking back Wednesday.</v>
          </cell>
          <cell r="D288" t="str">
            <v>Received</v>
          </cell>
        </row>
        <row r="289">
          <cell r="B289">
            <v>477420</v>
          </cell>
          <cell r="C289" t="str">
            <v>Contact uploaded the COI and the Spend authorization; the W-9 to follow once signed. Communication has been solid. Next check-in Thursday.</v>
          </cell>
          <cell r="D289" t="str">
            <v>Received</v>
          </cell>
        </row>
        <row r="290">
          <cell r="B290">
            <v>938653</v>
          </cell>
          <cell r="C290" t="str">
            <v>First batch received: the COI and the W-9 logged and approved. Still awaiting the Spend authorization. Contact committed to finishing by next week.</v>
          </cell>
          <cell r="D290" t="str">
            <v>Received</v>
          </cell>
        </row>
        <row r="291">
          <cell r="B291">
            <v>464545</v>
          </cell>
          <cell r="C291" t="str">
            <v>First batch received: the COI and the Spend authorization logged and approved. Still awaiting the W-9. Contact committed to finishing by Friday.</v>
          </cell>
          <cell r="D291" t="str">
            <v>Received</v>
          </cell>
        </row>
        <row r="292">
          <cell r="B292">
            <v>826187</v>
          </cell>
          <cell r="C292" t="str">
            <v>Partial packet in — the COI and the W-9 on file and within requirements. Awaiting the Spend authorization from the vendor's team. Reminder set for Tuesday.</v>
          </cell>
          <cell r="D292" t="str">
            <v>Received</v>
          </cell>
        </row>
        <row r="293">
          <cell r="B293">
            <v>636102</v>
          </cell>
          <cell r="C293" t="str">
            <v>Partial packet in — the COI and the W-9 on file and within requirements. Awaiting the Spend authorization from the vendor's team. Reminder set for Wednesday.</v>
          </cell>
          <cell r="D293" t="str">
            <v>Received</v>
          </cell>
        </row>
        <row r="294">
          <cell r="B294">
            <v>401572</v>
          </cell>
          <cell r="C294" t="str">
            <v>Contact uploaded the W-9 and the Spend authorization; the COI to follow once signed. Communication has been solid. Next check-in Friday.</v>
          </cell>
          <cell r="D294" t="str">
            <v>Received</v>
          </cell>
        </row>
        <row r="295">
          <cell r="B295">
            <v>227940</v>
          </cell>
          <cell r="C295" t="str">
            <v>Progressing well: the Spend authorization accepted and logged. Outstanding item is the COI and the W-9, which the contact expects by Wednesday. Steady communication.</v>
          </cell>
          <cell r="D295" t="str">
            <v>Received</v>
          </cell>
        </row>
        <row r="296">
          <cell r="B296">
            <v>100224</v>
          </cell>
          <cell r="C296" t="str">
            <v>The spend authorization received and verified; the COI and the W-9 still outstanding. Contact confirmed the remainder will be submitted by Thursday. Following up then.</v>
          </cell>
          <cell r="D296" t="str">
            <v>Received</v>
          </cell>
        </row>
        <row r="297">
          <cell r="B297">
            <v>921364</v>
          </cell>
          <cell r="C297" t="str">
            <v>Partial packet in — the W-9 and the Spend authorization on file and within requirements. Awaiting the COI from the vendor's team. Reminder set for Monday.</v>
          </cell>
          <cell r="D297" t="str">
            <v>Received</v>
          </cell>
        </row>
        <row r="298">
          <cell r="B298">
            <v>998249</v>
          </cell>
          <cell r="C298" t="str">
            <v>The coi cleared compliance review. The w-9 and the spend authorization was flagged as still needed and re-requested. Contact responsive and engaged.</v>
          </cell>
          <cell r="D298" t="str">
            <v>Received</v>
          </cell>
        </row>
        <row r="299">
          <cell r="B299">
            <v>615887</v>
          </cell>
          <cell r="C299" t="str">
            <v>Progressing well: the W-9 accepted and logged. Outstanding item is the Spend authorization and the COI, which the contact expects by Tuesday. Steady communication.</v>
          </cell>
          <cell r="D299" t="str">
            <v>Received</v>
          </cell>
        </row>
        <row r="300">
          <cell r="B300">
            <v>225939</v>
          </cell>
          <cell r="C300" t="str">
            <v>Received the COI and the W-9 through the portal today; the Spend authorization still pending. Contact acknowledged the request and is gathering the paperwork. Checking back Tuesday.</v>
          </cell>
          <cell r="D300" t="str">
            <v>Received</v>
          </cell>
        </row>
        <row r="301">
          <cell r="B301">
            <v>244411</v>
          </cell>
          <cell r="C301" t="str">
            <v>Progressing well: the COI accepted and logged. Outstanding item is the Spend authorization and the W-9, which the contact expects by Tuesday. Steady communication.</v>
          </cell>
          <cell r="D301" t="str">
            <v>Received</v>
          </cell>
        </row>
        <row r="302">
          <cell r="B302">
            <v>708845</v>
          </cell>
          <cell r="C302" t="str">
            <v>Contact uploaded the COI and the Spend authorization; the W-9 to follow once signed. Communication has been solid. Next check-in Monday.</v>
          </cell>
          <cell r="D302" t="str">
            <v>Received</v>
          </cell>
        </row>
        <row r="303">
          <cell r="B303">
            <v>727191</v>
          </cell>
          <cell r="C303" t="str">
            <v>Received the COI and the W-9 through the portal today; the Spend authorization still pending. Contact acknowledged the request and is gathering the paperwork. Checking back Tuesday.</v>
          </cell>
          <cell r="D303" t="str">
            <v>Received</v>
          </cell>
        </row>
        <row r="304">
          <cell r="B304">
            <v>501798</v>
          </cell>
          <cell r="C304" t="str">
            <v>Contact uploaded the COI and the W-9; the Spend authorization to follow once signed. Communication has been solid. Next check-in Friday.</v>
          </cell>
          <cell r="D304" t="str">
            <v>Received</v>
          </cell>
        </row>
        <row r="305">
          <cell r="B305">
            <v>851215</v>
          </cell>
          <cell r="C305" t="str">
            <v>First batch received: the W-9 logged and approved. Still awaiting the Spend authorization and the COI. Contact committed to finishing by Tuesday.</v>
          </cell>
          <cell r="D305" t="str">
            <v>Received</v>
          </cell>
        </row>
        <row r="306">
          <cell r="B306">
            <v>832245</v>
          </cell>
          <cell r="C306" t="str">
            <v>Good progress — the W-9 confirmed and filed. The spend authorization and the coi sits in the vendor's internal approval queue, expected by Friday. No concerns yet.</v>
          </cell>
          <cell r="D306" t="str">
            <v>Received</v>
          </cell>
        </row>
        <row r="307">
          <cell r="B307">
            <v>150528</v>
          </cell>
          <cell r="C307" t="str">
            <v>The coi held up because of a processing backlog cited by their broker. Contact is actively working it and apologized for the lag. New target is Friday.</v>
          </cell>
          <cell r="D307" t="str">
            <v>Delayed</v>
          </cell>
        </row>
        <row r="308">
          <cell r="B308">
            <v>126824</v>
          </cell>
          <cell r="C308" t="str">
            <v>The spend authorization pushed back owing to a legal entity name change working through their system. The rest of the packet is fine. Expecting resolution by Tuesday.</v>
          </cell>
          <cell r="D308" t="str">
            <v>Delayed</v>
          </cell>
        </row>
        <row r="309">
          <cell r="B309">
            <v>199159</v>
          </cell>
          <cell r="C309" t="str">
            <v>The spend authorization pushed back owing to an insurance renewal still in process. The rest of the packet is fine. Expecting resolution by Wednesday.</v>
          </cell>
          <cell r="D309" t="str">
            <v>Delayed</v>
          </cell>
        </row>
        <row r="310">
          <cell r="B310">
            <v>227268</v>
          </cell>
          <cell r="C310" t="str">
            <v>The spend authorization is delayed due to a legal entity name change working through their system. A short extension was granted and acknowledged. Will re-check status by Thursday.</v>
          </cell>
          <cell r="D310" t="str">
            <v>Delayed</v>
          </cell>
        </row>
        <row r="311">
          <cell r="B311">
            <v>222104</v>
          </cell>
          <cell r="C311" t="str">
            <v>The coi pushed back owing to the contact's finance lead is out on PTO. The rest of the packet is fine. Expecting resolution by Tuesday.</v>
          </cell>
          <cell r="D311" t="str">
            <v>Delayed</v>
          </cell>
        </row>
        <row r="312">
          <cell r="B312">
            <v>146828</v>
          </cell>
          <cell r="C312" t="str">
            <v>Documents delayed — a vendor-side system migration that temporarily locked their files. Contact confirmed the item is in progress. Monitoring and following up Friday.</v>
          </cell>
          <cell r="D312" t="str">
            <v>Delayed</v>
          </cell>
        </row>
        <row r="313">
          <cell r="B313">
            <v>935298</v>
          </cell>
          <cell r="C313" t="str">
            <v>Replies are sporadic and often incomplete, slowing everything down. Still awaiting all required documents. Setting a firm deadline in the next message.</v>
          </cell>
          <cell r="D313" t="str">
            <v>Poor Communication</v>
          </cell>
        </row>
        <row r="314">
          <cell r="B314">
            <v>589324</v>
          </cell>
          <cell r="C314" t="str">
            <v>Third outreach attempt with no response from the contact. Voicemail left and a follow-up email sent requesting the outstanding documents. Escalating to a backup contact if no reply by Thursday.</v>
          </cell>
          <cell r="D314" t="str">
            <v>Poor Communication</v>
          </cell>
        </row>
        <row r="315">
          <cell r="B315">
            <v>672136</v>
          </cell>
          <cell r="C315" t="str">
            <v>Third outreach attempt with no response from the contact. Voicemail left and a follow-up email sent requesting the outstanding documents. Escalating to a backup contact if no reply by Monday.</v>
          </cell>
          <cell r="D315" t="str">
            <v>Poor Communication</v>
          </cell>
        </row>
        <row r="316">
          <cell r="B316">
            <v>329348</v>
          </cell>
          <cell r="C316" t="str">
            <v>Communication has stalled — three follow-ups sent with no reply. Nothing submitted to date. Flagging this vendor as at-risk for onboarding.</v>
          </cell>
          <cell r="D316" t="str">
            <v>Poor Communication</v>
          </cell>
        </row>
        <row r="317">
          <cell r="B317">
            <v>135253</v>
          </cell>
          <cell r="C317" t="str">
            <v>Repeated attempts to reach the contact have gone unanswered. No paperwork received so far. Escalating to their main office line.</v>
          </cell>
          <cell r="D317" t="str">
            <v>Poor Communication</v>
          </cell>
        </row>
        <row r="318">
          <cell r="B318">
            <v>777043</v>
          </cell>
          <cell r="C318" t="str">
            <v>Replies are sporadic and often incomplete, slowing everything down. Still awaiting all required documents. Setting a firm deadline in the next message.</v>
          </cell>
          <cell r="D318" t="str">
            <v>Poor Communication</v>
          </cell>
        </row>
        <row r="319">
          <cell r="B319">
            <v>441614</v>
          </cell>
          <cell r="C319" t="str">
            <v>Contact acknowledged the request but has since stopped responding. No documents in. Trying a different channel and noting for supervisor follow-up.</v>
          </cell>
          <cell r="D319" t="str">
            <v>Poor Communication</v>
          </cell>
        </row>
        <row r="320">
          <cell r="B320">
            <v>812390</v>
          </cell>
          <cell r="C320" t="str">
            <v>Received the COI and the Spend authorization through the portal today; the W-9 still pending. Contact acknowledged the request and is gathering the paperwork. Checking back Friday.</v>
          </cell>
          <cell r="D320" t="str">
            <v>Received</v>
          </cell>
        </row>
        <row r="321">
          <cell r="B321">
            <v>644562</v>
          </cell>
          <cell r="C321" t="str">
            <v>Partial packet in — the W-9 on file and within requirements. Awaiting the Spend authorization and the COI from the vendor's team. Reminder set for Wednesday.</v>
          </cell>
          <cell r="D321" t="str">
            <v>Received</v>
          </cell>
        </row>
        <row r="322">
          <cell r="B322">
            <v>546109</v>
          </cell>
          <cell r="C322" t="str">
            <v>Good progress — the COI confirmed and filed. The spend authorization and the w-9 sits in the vendor's internal approval queue, expected by Wednesday. No concerns yet.</v>
          </cell>
          <cell r="D322" t="str">
            <v>Received</v>
          </cell>
        </row>
        <row r="323">
          <cell r="B323">
            <v>542727</v>
          </cell>
          <cell r="C323" t="str">
            <v>Received the COI and the W-9 through the portal today; the Spend authorization still pending. Contact acknowledged the request and is gathering the paperwork. Checking back Thursday.</v>
          </cell>
          <cell r="D323" t="str">
            <v>Received</v>
          </cell>
        </row>
        <row r="324">
          <cell r="B324">
            <v>838892</v>
          </cell>
          <cell r="C324" t="str">
            <v>Contact uploaded the COI and the Spend authorization; the W-9 to follow once signed. Communication has been solid. Next check-in next week.</v>
          </cell>
          <cell r="D324" t="str">
            <v>Received</v>
          </cell>
        </row>
        <row r="325">
          <cell r="B325">
            <v>851324</v>
          </cell>
          <cell r="C325" t="str">
            <v>Received the COI and the Spend authorization through the portal today; the W-9 still pending. Contact acknowledged the request and is gathering the paperwork. Checking back Friday.</v>
          </cell>
          <cell r="D325" t="str">
            <v>Received</v>
          </cell>
        </row>
        <row r="326">
          <cell r="B326">
            <v>401644</v>
          </cell>
          <cell r="C326" t="str">
            <v>Good progress — the W-9 and the Spend authorization confirmed and filed. The coi sits in the vendor's internal approval queue, expected by Monday. No concerns yet.</v>
          </cell>
          <cell r="D326" t="str">
            <v>Received</v>
          </cell>
        </row>
        <row r="327">
          <cell r="B327">
            <v>714496</v>
          </cell>
          <cell r="C327" t="str">
            <v>Partial packet in — the W-9 and the Spend authorization on file and within requirements. Awaiting the COI from the vendor's team. Reminder set for Wednesday.</v>
          </cell>
          <cell r="D327" t="str">
            <v>Received</v>
          </cell>
        </row>
        <row r="328">
          <cell r="B328">
            <v>823262</v>
          </cell>
          <cell r="C328" t="str">
            <v>First batch received: the COI logged and approved. Still awaiting the Spend authorization and the W-9. Contact committed to finishing by Thursday.</v>
          </cell>
          <cell r="D328" t="str">
            <v>Received</v>
          </cell>
        </row>
        <row r="329">
          <cell r="B329">
            <v>126608</v>
          </cell>
          <cell r="C329" t="str">
            <v>The coi received and verified; the W-9 and the Spend authorization still outstanding. Contact confirmed the remainder will be submitted by Friday. Following up then.</v>
          </cell>
          <cell r="D329" t="str">
            <v>Received</v>
          </cell>
        </row>
        <row r="330">
          <cell r="B330">
            <v>109727</v>
          </cell>
          <cell r="C330" t="str">
            <v>Contact uploaded the COI; the Spend authorization and the W-9 to follow once signed. Communication has been solid. Next check-in Friday.</v>
          </cell>
          <cell r="D330" t="str">
            <v>Received</v>
          </cell>
        </row>
        <row r="331">
          <cell r="B331">
            <v>672992</v>
          </cell>
          <cell r="C331" t="str">
            <v>The coi and the w-9 received and verified; the Spend authorization still outstanding. Contact confirmed the remainder will be submitted by Wednesday. Following up then.</v>
          </cell>
          <cell r="D331" t="str">
            <v>Received</v>
          </cell>
        </row>
        <row r="332">
          <cell r="B332">
            <v>281785</v>
          </cell>
          <cell r="C332" t="str">
            <v>First batch received: the Spend authorization logged and approved. Still awaiting the COI and the W-9. Contact committed to finishing by Wednesday.</v>
          </cell>
          <cell r="D332" t="str">
            <v>Received</v>
          </cell>
        </row>
        <row r="333">
          <cell r="B333">
            <v>852151</v>
          </cell>
          <cell r="C333" t="str">
            <v>Contact uploaded the Spend authorization; the W-9 and the COI to follow once signed. Communication has been solid. Next check-in Monday.</v>
          </cell>
          <cell r="D333" t="str">
            <v>Received</v>
          </cell>
        </row>
        <row r="334">
          <cell r="B334">
            <v>674775</v>
          </cell>
          <cell r="C334" t="str">
            <v>The spend authorization cleared compliance review. The w-9 and the coi was flagged as still needed and re-requested. Contact responsive and engaged.</v>
          </cell>
          <cell r="D334" t="str">
            <v>Received</v>
          </cell>
        </row>
        <row r="335">
          <cell r="B335">
            <v>989056</v>
          </cell>
          <cell r="C335" t="str">
            <v>Partial packet in — the W-9 on file and within requirements. Awaiting the COI and the Spend authorization from the vendor's team. Reminder set for Wednesday.</v>
          </cell>
          <cell r="D335" t="str">
            <v>Received</v>
          </cell>
        </row>
        <row r="336">
          <cell r="B336">
            <v>673141</v>
          </cell>
          <cell r="C336" t="str">
            <v>Good progress — the COI confirmed and filed. The w-9 and the spend authorization sits in the vendor's internal approval queue, expected by Friday. No concerns yet.</v>
          </cell>
          <cell r="D336" t="str">
            <v>Received</v>
          </cell>
        </row>
        <row r="337">
          <cell r="B337">
            <v>344660</v>
          </cell>
          <cell r="C337" t="str">
            <v>The coi received and verified; the W-9 and the Spend authorization still outstanding. Contact confirmed the remainder will be submitted by next week. Following up then.</v>
          </cell>
          <cell r="D337" t="str">
            <v>Received</v>
          </cell>
        </row>
        <row r="338">
          <cell r="B338">
            <v>641959</v>
          </cell>
          <cell r="C338" t="str">
            <v>Contact uploaded the COI and the Spend authorization; the W-9 to follow once signed. Communication has been solid. Next check-in Tuesday.</v>
          </cell>
          <cell r="D338" t="str">
            <v>Received</v>
          </cell>
        </row>
        <row r="339">
          <cell r="B339">
            <v>381580</v>
          </cell>
          <cell r="C339" t="str">
            <v>Onboarding finalized after a short verification call this Friday. Every document is signed, dated, and on file. Ready for service assignment.</v>
          </cell>
          <cell r="D339" t="str">
            <v>Completion</v>
          </cell>
        </row>
        <row r="340">
          <cell r="B340">
            <v>674421</v>
          </cell>
          <cell r="C340" t="str">
            <v>Full document set received and reconciled against the master vendor record; the Spend authorization needed a quick correction, now resolved. No further discrepancies found. Onboarding officially complete.</v>
          </cell>
          <cell r="D340" t="str">
            <v>Completion</v>
          </cell>
        </row>
        <row r="341">
          <cell r="B341">
            <v>946104</v>
          </cell>
          <cell r="C341" t="str">
            <v>Confirmed all required paperwork on file once the W-9 came through the portal. Insurance limits and tax details verified. Onboarding closed out.</v>
          </cell>
          <cell r="D341" t="str">
            <v>Completion</v>
          </cell>
        </row>
        <row r="342">
          <cell r="B342">
            <v>802964</v>
          </cell>
          <cell r="C342" t="str">
            <v>Onboarding finalized after a short verification call this Tuesday. Every document is signed, dated, and on file. Ready for service assignment.</v>
          </cell>
          <cell r="D342" t="str">
            <v>Completion</v>
          </cell>
        </row>
        <row r="343">
          <cell r="B343">
            <v>954583</v>
          </cell>
          <cell r="C343" t="str">
            <v>Everything is in — the W-9 arrived this Monday and matched our records. Contact was proactive throughout. Onboarding complete.</v>
          </cell>
          <cell r="D343" t="str">
            <v>Completion</v>
          </cell>
        </row>
        <row r="344">
          <cell r="B344">
            <v>845480</v>
          </cell>
          <cell r="C344" t="str">
            <v>Confirmed all required paperwork on file once the W-9 came through the portal. Insurance limits and tax details verified. Onboarding closed out.</v>
          </cell>
          <cell r="D344" t="str">
            <v>Completion</v>
          </cell>
        </row>
        <row r="345">
          <cell r="B345">
            <v>441880</v>
          </cell>
          <cell r="C345" t="str">
            <v>Packet complete after the COI was uploaded, closing the final open item. Documents were cross-checked against contract requirements and approved. Vendor moved to active status.</v>
          </cell>
          <cell r="D345" t="str">
            <v>Completion</v>
          </cell>
        </row>
        <row r="346">
          <cell r="B346">
            <v>291940</v>
          </cell>
          <cell r="C346" t="str">
            <v>Everything is in — the Spend authorization arrived this Thursday and matched our records. Contact was proactive throughout. Onboarding complete.</v>
          </cell>
          <cell r="D346" t="str">
            <v>Completion</v>
          </cell>
        </row>
        <row r="347">
          <cell r="B347">
            <v>335431</v>
          </cell>
          <cell r="C347" t="str">
            <v>All onboarding documents — COI, W-9, and Spend authorization — are received and verified, with the W-9 arriving last. Compliance review passed with no exceptions. Vendor is fully onboarded and cleared for service.</v>
          </cell>
          <cell r="D347" t="str">
            <v>Completion</v>
          </cell>
        </row>
        <row r="348">
          <cell r="B348">
            <v>793342</v>
          </cell>
          <cell r="C348" t="str">
            <v>Confirmed all required paperwork on file once the COI came through the portal. Insurance limits and tax details verified. Onboarding closed out.</v>
          </cell>
          <cell r="D348" t="str">
            <v>Completion</v>
          </cell>
        </row>
        <row r="349">
          <cell r="B349">
            <v>581104</v>
          </cell>
          <cell r="C349" t="str">
            <v>Confirmed all required paperwork on file once the W-9 came through the portal. Insurance limits and tax details verified. Onboarding closed out.</v>
          </cell>
          <cell r="D349" t="str">
            <v>Completion</v>
          </cell>
        </row>
        <row r="350">
          <cell r="B350">
            <v>125941</v>
          </cell>
          <cell r="C350" t="str">
            <v>Contact delivered the Spend authorization ahead of the deadline, completing the packet. Coverage and W-9 details confirmed current. Cleared for daily operations support.</v>
          </cell>
          <cell r="D350" t="str">
            <v>Completion</v>
          </cell>
        </row>
        <row r="351">
          <cell r="B351">
            <v>105144</v>
          </cell>
          <cell r="C351" t="str">
            <v>All onboarding documents — COI, W-9, and Spend authorization — are received and verified, with the COI arriving last. Compliance review passed with no exceptions. Vendor is fully onboarded and cleared for service.</v>
          </cell>
          <cell r="D351" t="str">
            <v>Completion</v>
          </cell>
        </row>
        <row r="352">
          <cell r="B352">
            <v>446493</v>
          </cell>
          <cell r="C352" t="str">
            <v>All onboarding documents — COI, W-9, and Spend authorization — are received and verified, with the W-9 arriving last. Compliance review passed with no exceptions. Vendor is fully onboarded and cleared for service.</v>
          </cell>
          <cell r="D352" t="str">
            <v>Completion</v>
          </cell>
        </row>
        <row r="353">
          <cell r="B353">
            <v>914295</v>
          </cell>
          <cell r="C353" t="str">
            <v>The spend authorization was the last piece and it cleared review this Tuesday. COI, W-9, and Spend authorization are all validated. Vendor activated and notified.</v>
          </cell>
          <cell r="D353" t="str">
            <v>Completion</v>
          </cell>
        </row>
        <row r="354">
          <cell r="B354">
            <v>932328</v>
          </cell>
          <cell r="C354" t="str">
            <v>Submission of the Spend authorization stalled because of an internal signature backlog on the vendor's side. Contact remains responsive despite the holdup. Re-checking Tuesday.</v>
          </cell>
          <cell r="D354" t="str">
            <v>Delayed</v>
          </cell>
        </row>
        <row r="355">
          <cell r="B355">
            <v>602421</v>
          </cell>
          <cell r="C355" t="str">
            <v>The coi pushed back owing to a corporate reorganization reassigning document ownership. The rest of the packet is fine. Expecting resolution by Friday.</v>
          </cell>
          <cell r="D355" t="str">
            <v>Delayed</v>
          </cell>
        </row>
        <row r="356">
          <cell r="B356">
            <v>955797</v>
          </cell>
          <cell r="C356" t="str">
            <v>Submission of the Spend authorization stalled because of a pending budget approval on the vendor's end. Contact remains responsive despite the holdup. Re-checking Friday.</v>
          </cell>
          <cell r="D356" t="str">
            <v>Delayed</v>
          </cell>
        </row>
        <row r="357">
          <cell r="B357">
            <v>985499</v>
          </cell>
          <cell r="C357" t="str">
            <v>The coi is delayed due to a legal entity name change working through their system. A short extension was granted and acknowledged. Will re-check status by Monday.</v>
          </cell>
          <cell r="D357" t="str">
            <v>Delayed</v>
          </cell>
        </row>
        <row r="358">
          <cell r="B358">
            <v>534201</v>
          </cell>
          <cell r="C358" t="str">
            <v>Documents delayed — a processing backlog cited by their broker. Contact confirmed the item is in progress. Monitoring and following up Friday.</v>
          </cell>
          <cell r="D358" t="str">
            <v>Delayed</v>
          </cell>
        </row>
        <row r="359">
          <cell r="B359">
            <v>972249</v>
          </cell>
          <cell r="C359" t="str">
            <v>Submission of the Spend authorization stalled because of their broker is reissuing the certificate with corrected coverage limits. Contact remains responsive despite the holdup. Re-checking Wednesday.</v>
          </cell>
          <cell r="D359" t="str">
            <v>Delayed</v>
          </cell>
        </row>
        <row r="360">
          <cell r="B360">
            <v>194020</v>
          </cell>
          <cell r="C360" t="str">
            <v>Documents delayed — an internal signature backlog on the vendor's side. Contact confirmed the item is in progress. Monitoring and following up Thursday.</v>
          </cell>
          <cell r="D360" t="str">
            <v>Delayed</v>
          </cell>
        </row>
        <row r="361">
          <cell r="B361">
            <v>424008</v>
          </cell>
          <cell r="C361" t="str">
            <v>The spend authorization held up because of a pending budget approval on the vendor's end. Contact is actively working it and apologized for the lag. New target is next week.</v>
          </cell>
          <cell r="D361" t="str">
            <v>Delayed</v>
          </cell>
        </row>
        <row r="362">
          <cell r="B362">
            <v>811457</v>
          </cell>
          <cell r="C362" t="str">
            <v>The coi held up because of a legal entity name change working through their system. Contact is actively working it and apologized for the lag. New target is next week.</v>
          </cell>
          <cell r="D362" t="str">
            <v>Delayed</v>
          </cell>
        </row>
        <row r="363">
          <cell r="B363">
            <v>626925</v>
          </cell>
          <cell r="C363" t="str">
            <v>Submission of the Spend authorization stalled because of an unexpected staffing gap after the contact went on leave. Contact remains responsive despite the holdup. Re-checking Thursday.</v>
          </cell>
          <cell r="D363" t="str">
            <v>Delayed</v>
          </cell>
        </row>
        <row r="364">
          <cell r="B364">
            <v>845414</v>
          </cell>
          <cell r="C364" t="str">
            <v>Contact unresponsive to the last several messages, and the voicemail box is full. Requesting an alternate point of contact from the vendor. Noted for escalation.</v>
          </cell>
          <cell r="D364" t="str">
            <v>Poor Communication</v>
          </cell>
        </row>
        <row r="365">
          <cell r="B365">
            <v>571497</v>
          </cell>
          <cell r="C365" t="str">
            <v>Contact has gone quiet after an initial acknowledgment; recent emails are unanswered. No documents received yet. Attempting a call and considering escalation.</v>
          </cell>
          <cell r="D365" t="str">
            <v>Poor Communication</v>
          </cell>
        </row>
        <row r="366">
          <cell r="B366">
            <v>177000</v>
          </cell>
          <cell r="C366" t="str">
            <v>Repeated attempts to reach the contact have gone unanswered. No paperwork received so far. Escalating to their main office line.</v>
          </cell>
          <cell r="D366" t="str">
            <v>Poor Communication</v>
          </cell>
        </row>
        <row r="367">
          <cell r="B367">
            <v>527821</v>
          </cell>
          <cell r="C367" t="str">
            <v>Third outreach attempt with no response from the contact. Voicemail left and a follow-up email sent requesting the outstanding documents. Escalating to a backup contact if no reply by Friday.</v>
          </cell>
          <cell r="D367" t="str">
            <v>Poor Communication</v>
          </cell>
        </row>
        <row r="368">
          <cell r="B368">
            <v>635180</v>
          </cell>
          <cell r="C368" t="str">
            <v>Replies are sporadic and often incomplete, slowing everything down. Still awaiting all required documents. Setting a firm deadline in the next message.</v>
          </cell>
          <cell r="D368" t="str">
            <v>Poor Communication</v>
          </cell>
        </row>
        <row r="369">
          <cell r="B369">
            <v>470569</v>
          </cell>
          <cell r="C369" t="str">
            <v>Communication has stalled — three follow-ups sent with no reply. Nothing submitted to date. Flagging this vendor as at-risk for onboarding.</v>
          </cell>
          <cell r="D369" t="str">
            <v>Poor Communication</v>
          </cell>
        </row>
        <row r="370">
          <cell r="B370">
            <v>944285</v>
          </cell>
          <cell r="C370" t="str">
            <v>Contact acknowledged the request but has since stopped responding. No documents in. Trying a different channel and noting for supervisor follow-up.</v>
          </cell>
          <cell r="D370" t="str">
            <v>Poor Communication</v>
          </cell>
        </row>
        <row r="371">
          <cell r="B371">
            <v>333756</v>
          </cell>
          <cell r="C371" t="str">
            <v>Communication has stalled — two follow-ups sent with no reply. Nothing submitted to date. Flagging this vendor as at-risk for onboarding.</v>
          </cell>
          <cell r="D371" t="str">
            <v>Poor Communication</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jw38" refreshedDate="46287.575071643521" createdVersion="8" refreshedVersion="8" minRefreshableVersion="3" recordCount="7" xr:uid="{85307DEA-1211-42CA-B064-178A2E2D75F4}">
  <cacheSource type="worksheet">
    <worksheetSource ref="A41:J48" sheet="Dash Support Sheet"/>
  </cacheSource>
  <cacheFields count="10">
    <cacheField name="Coordinator" numFmtId="0">
      <sharedItems count="7">
        <s v="Marisol Reyes"/>
        <s v="Trevor Nguyen"/>
        <s v="Priya Kapoor"/>
        <s v="Damon Fields"/>
        <s v="Yuki Tanaka"/>
        <s v="Andre Boseman"/>
        <s v="Hannah Whitlock"/>
      </sharedItems>
    </cacheField>
    <cacheField name="Total" numFmtId="0">
      <sharedItems containsSemiMixedTypes="0" containsString="0" containsNumber="1" containsInteger="1" minValue="52" maxValue="53"/>
    </cacheField>
    <cacheField name="Completion" numFmtId="0">
      <sharedItems containsSemiMixedTypes="0" containsString="0" containsNumber="1" containsInteger="1" minValue="10" maxValue="30"/>
    </cacheField>
    <cacheField name="Received" numFmtId="0">
      <sharedItems containsSemiMixedTypes="0" containsString="0" containsNumber="1" containsInteger="1" minValue="10" maxValue="40"/>
    </cacheField>
    <cacheField name="Delayed" numFmtId="0">
      <sharedItems containsSemiMixedTypes="0" containsString="0" containsNumber="1" containsInteger="1" minValue="3" maxValue="11"/>
    </cacheField>
    <cacheField name="EOD" numFmtId="0">
      <sharedItems containsSemiMixedTypes="0" containsString="0" containsNumber="1" containsInteger="1" minValue="0" maxValue="12"/>
    </cacheField>
    <cacheField name="Poor Comm" numFmtId="0">
      <sharedItems containsSemiMixedTypes="0" containsString="0" containsNumber="1" containsInteger="1" minValue="0" maxValue="8" count="3">
        <n v="0"/>
        <n v="8"/>
        <n v="7"/>
      </sharedItems>
    </cacheField>
    <cacheField name="Comp%" numFmtId="9">
      <sharedItems containsSemiMixedTypes="0" containsString="0" containsNumber="1" minValue="0.18867924528301888" maxValue="0.56603773584905659" count="5">
        <n v="0.56603773584905659"/>
        <n v="0.28301886792452829"/>
        <n v="0.37735849056603776"/>
        <n v="0.18867924528301888"/>
        <n v="0.28846153846153844"/>
      </sharedItems>
    </cacheField>
    <cacheField name="Critical At -Risk" numFmtId="0">
      <sharedItems containsSemiMixedTypes="0" containsString="0" containsNumber="1" containsInteger="1" minValue="0" maxValue="11"/>
    </cacheField>
    <cacheField name="Spend At-Risk" numFmtId="164">
      <sharedItems containsSemiMixedTypes="0" containsString="0" containsNumber="1" containsInteger="1" minValue="179200" maxValue="18433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53"/>
    <n v="30"/>
    <n v="12"/>
    <n v="11"/>
    <n v="0"/>
    <x v="0"/>
    <x v="0"/>
    <n v="11"/>
    <n v="1843300"/>
  </r>
  <r>
    <x v="1"/>
    <n v="53"/>
    <n v="30"/>
    <n v="12"/>
    <n v="11"/>
    <n v="0"/>
    <x v="0"/>
    <x v="0"/>
    <n v="9"/>
    <n v="1627600"/>
  </r>
  <r>
    <x v="2"/>
    <n v="53"/>
    <n v="15"/>
    <n v="20"/>
    <n v="10"/>
    <n v="0"/>
    <x v="1"/>
    <x v="1"/>
    <n v="3"/>
    <n v="920600"/>
  </r>
  <r>
    <x v="3"/>
    <n v="53"/>
    <n v="20"/>
    <n v="10"/>
    <n v="11"/>
    <n v="12"/>
    <x v="0"/>
    <x v="2"/>
    <n v="4"/>
    <n v="1656700"/>
  </r>
  <r>
    <x v="4"/>
    <n v="53"/>
    <n v="10"/>
    <n v="40"/>
    <n v="3"/>
    <n v="0"/>
    <x v="0"/>
    <x v="3"/>
    <n v="0"/>
    <n v="179200"/>
  </r>
  <r>
    <x v="5"/>
    <n v="53"/>
    <n v="20"/>
    <n v="20"/>
    <n v="6"/>
    <n v="0"/>
    <x v="2"/>
    <x v="2"/>
    <n v="3"/>
    <n v="1180400"/>
  </r>
  <r>
    <x v="6"/>
    <n v="52"/>
    <n v="15"/>
    <n v="19"/>
    <n v="10"/>
    <n v="0"/>
    <x v="1"/>
    <x v="4"/>
    <n v="2"/>
    <n v="1303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6FF13E-73E3-425A-B18C-ABFD454414DF}"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G15:H23" firstHeaderRow="1" firstDataRow="1" firstDataCol="1"/>
  <pivotFields count="10">
    <pivotField axis="axisRow" showAll="0" sortType="ascending">
      <items count="8">
        <item x="5"/>
        <item x="3"/>
        <item x="6"/>
        <item x="0"/>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0"/>
        <item x="2"/>
        <item x="1"/>
        <item t="default"/>
      </items>
    </pivotField>
    <pivotField dataField="1" numFmtId="9" showAll="0"/>
    <pivotField showAll="0"/>
    <pivotField numFmtId="164" showAll="0"/>
  </pivotFields>
  <rowFields count="1">
    <field x="0"/>
  </rowFields>
  <rowItems count="8">
    <i>
      <x v="6"/>
    </i>
    <i>
      <x v="4"/>
    </i>
    <i>
      <x v="2"/>
    </i>
    <i>
      <x/>
    </i>
    <i>
      <x v="1"/>
    </i>
    <i>
      <x v="3"/>
    </i>
    <i>
      <x v="5"/>
    </i>
    <i t="grand">
      <x/>
    </i>
  </rowItems>
  <colItems count="1">
    <i/>
  </colItems>
  <dataFields count="1">
    <dataField name="Sum of Comp%" fld="7" baseField="0" baseItem="0" numFmtId="9"/>
  </dataFields>
  <formats count="1">
    <format dxfId="112">
      <pivotArea field="0" type="button" dataOnly="0" labelOnly="1" outline="0" axis="axisRow" fieldPosition="0"/>
    </format>
  </formats>
  <chartFormats count="17">
    <chartFormat chart="6"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4" format="4">
      <pivotArea type="data" outline="0" fieldPosition="0">
        <references count="2">
          <reference field="4294967294" count="1" selected="0">
            <x v="0"/>
          </reference>
          <reference field="0" count="1" selected="0">
            <x v="6"/>
          </reference>
        </references>
      </pivotArea>
    </chartFormat>
    <chartFormat chart="24" format="5">
      <pivotArea type="data" outline="0" fieldPosition="0">
        <references count="2">
          <reference field="4294967294" count="1" selected="0">
            <x v="0"/>
          </reference>
          <reference field="0" count="1" selected="0">
            <x v="5"/>
          </reference>
        </references>
      </pivotArea>
    </chartFormat>
    <chartFormat chart="24" format="6">
      <pivotArea type="data" outline="0" fieldPosition="0">
        <references count="2">
          <reference field="4294967294" count="1" selected="0">
            <x v="0"/>
          </reference>
          <reference field="0" count="1" selected="0">
            <x v="4"/>
          </reference>
        </references>
      </pivotArea>
    </chartFormat>
    <chartFormat chart="24" format="7">
      <pivotArea type="data" outline="0" fieldPosition="0">
        <references count="2">
          <reference field="4294967294" count="1" selected="0">
            <x v="0"/>
          </reference>
          <reference field="0" count="1" selected="0">
            <x v="3"/>
          </reference>
        </references>
      </pivotArea>
    </chartFormat>
    <chartFormat chart="24" format="8">
      <pivotArea type="data" outline="0" fieldPosition="0">
        <references count="2">
          <reference field="4294967294" count="1" selected="0">
            <x v="0"/>
          </reference>
          <reference field="0" count="1" selected="0">
            <x v="2"/>
          </reference>
        </references>
      </pivotArea>
    </chartFormat>
    <chartFormat chart="24" format="9">
      <pivotArea type="data" outline="0" fieldPosition="0">
        <references count="2">
          <reference field="4294967294" count="1" selected="0">
            <x v="0"/>
          </reference>
          <reference field="0" count="1" selected="0">
            <x v="1"/>
          </reference>
        </references>
      </pivotArea>
    </chartFormat>
    <chartFormat chart="24" format="10">
      <pivotArea type="data" outline="0" fieldPosition="0">
        <references count="2">
          <reference field="4294967294" count="1" selected="0">
            <x v="0"/>
          </reference>
          <reference field="0" count="1" selected="0">
            <x v="0"/>
          </reference>
        </references>
      </pivotArea>
    </chartFormat>
    <chartFormat chart="38" format="19" series="1">
      <pivotArea type="data" outline="0" fieldPosition="0">
        <references count="1">
          <reference field="4294967294" count="1" selected="0">
            <x v="0"/>
          </reference>
        </references>
      </pivotArea>
    </chartFormat>
    <chartFormat chart="38" format="20">
      <pivotArea type="data" outline="0" fieldPosition="0">
        <references count="2">
          <reference field="4294967294" count="1" selected="0">
            <x v="0"/>
          </reference>
          <reference field="0" count="1" selected="0">
            <x v="0"/>
          </reference>
        </references>
      </pivotArea>
    </chartFormat>
    <chartFormat chart="38" format="21">
      <pivotArea type="data" outline="0" fieldPosition="0">
        <references count="2">
          <reference field="4294967294" count="1" selected="0">
            <x v="0"/>
          </reference>
          <reference field="0" count="1" selected="0">
            <x v="1"/>
          </reference>
        </references>
      </pivotArea>
    </chartFormat>
    <chartFormat chart="38" format="22">
      <pivotArea type="data" outline="0" fieldPosition="0">
        <references count="2">
          <reference field="4294967294" count="1" selected="0">
            <x v="0"/>
          </reference>
          <reference field="0" count="1" selected="0">
            <x v="2"/>
          </reference>
        </references>
      </pivotArea>
    </chartFormat>
    <chartFormat chart="38" format="23">
      <pivotArea type="data" outline="0" fieldPosition="0">
        <references count="2">
          <reference field="4294967294" count="1" selected="0">
            <x v="0"/>
          </reference>
          <reference field="0" count="1" selected="0">
            <x v="3"/>
          </reference>
        </references>
      </pivotArea>
    </chartFormat>
    <chartFormat chart="38" format="24">
      <pivotArea type="data" outline="0" fieldPosition="0">
        <references count="2">
          <reference field="4294967294" count="1" selected="0">
            <x v="0"/>
          </reference>
          <reference field="0" count="1" selected="0">
            <x v="4"/>
          </reference>
        </references>
      </pivotArea>
    </chartFormat>
    <chartFormat chart="38" format="25">
      <pivotArea type="data" outline="0" fieldPosition="0">
        <references count="2">
          <reference field="4294967294" count="1" selected="0">
            <x v="0"/>
          </reference>
          <reference field="0" count="1" selected="0">
            <x v="5"/>
          </reference>
        </references>
      </pivotArea>
    </chartFormat>
    <chartFormat chart="38" format="26">
      <pivotArea type="data" outline="0" fieldPosition="0">
        <references count="2">
          <reference field="4294967294" count="1" selected="0">
            <x v="0"/>
          </reference>
          <reference field="0" count="1" selected="0">
            <x v="6"/>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4B32EA-7F6B-4626-ACB3-5486933D673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D35" firstHeaderRow="0" firstDataRow="1" firstDataCol="1"/>
  <pivotFields count="10">
    <pivotField axis="axisRow" showAll="0">
      <items count="8">
        <item x="5"/>
        <item x="3"/>
        <item x="6"/>
        <item x="0"/>
        <item x="2"/>
        <item x="1"/>
        <item x="4"/>
        <item t="default"/>
      </items>
    </pivotField>
    <pivotField dataField="1" showAll="0"/>
    <pivotField dataField="1" showAll="0"/>
    <pivotField dataField="1" showAll="0"/>
    <pivotField showAll="0"/>
    <pivotField showAll="0"/>
    <pivotField showAll="0">
      <items count="4">
        <item x="0"/>
        <item x="2"/>
        <item x="1"/>
        <item t="default"/>
      </items>
    </pivotField>
    <pivotField numFmtId="9" showAll="0"/>
    <pivotField showAll="0"/>
    <pivotField numFmtId="164" showAll="0"/>
  </pivotFields>
  <rowFields count="1">
    <field x="0"/>
  </rowFields>
  <rowItems count="8">
    <i>
      <x/>
    </i>
    <i>
      <x v="1"/>
    </i>
    <i>
      <x v="2"/>
    </i>
    <i>
      <x v="3"/>
    </i>
    <i>
      <x v="4"/>
    </i>
    <i>
      <x v="5"/>
    </i>
    <i>
      <x v="6"/>
    </i>
    <i t="grand">
      <x/>
    </i>
  </rowItems>
  <colFields count="1">
    <field x="-2"/>
  </colFields>
  <colItems count="3">
    <i>
      <x/>
    </i>
    <i i="1">
      <x v="1"/>
    </i>
    <i i="2">
      <x v="2"/>
    </i>
  </colItems>
  <dataFields count="3">
    <dataField name="Sum of Total" fld="1" baseField="0" baseItem="0"/>
    <dataField name="Sum of Completion" fld="2" baseField="0" baseItem="0"/>
    <dataField name="Sum of Received" fld="3" baseField="0" baseItem="0"/>
  </dataFields>
  <formats count="6">
    <format dxfId="118">
      <pivotArea outline="0" collapsedLevelsAreSubtotals="1" fieldPosition="0">
        <references count="1">
          <reference field="4294967294" count="2" selected="0">
            <x v="0"/>
            <x v="1"/>
          </reference>
        </references>
      </pivotArea>
    </format>
    <format dxfId="117">
      <pivotArea field="0" type="button" dataOnly="0" labelOnly="1" outline="0" axis="axisRow" fieldPosition="0"/>
    </format>
    <format dxfId="116">
      <pivotArea dataOnly="0" labelOnly="1" outline="0" fieldPosition="0">
        <references count="1">
          <reference field="4294967294" count="2">
            <x v="0"/>
            <x v="1"/>
          </reference>
        </references>
      </pivotArea>
    </format>
    <format dxfId="115">
      <pivotArea field="0" grandRow="1" outline="0" collapsedLevelsAreSubtotals="1" axis="axisRow" fieldPosition="0">
        <references count="1">
          <reference field="4294967294" count="2" selected="0">
            <x v="0"/>
            <x v="1"/>
          </reference>
        </references>
      </pivotArea>
    </format>
    <format dxfId="114">
      <pivotArea collapsedLevelsAreSubtotals="1" fieldPosition="0">
        <references count="2">
          <reference field="4294967294" count="1" selected="0">
            <x v="2"/>
          </reference>
          <reference field="0" count="0"/>
        </references>
      </pivotArea>
    </format>
    <format dxfId="113">
      <pivotArea field="0" grandRow="1" outline="0" collapsedLevelsAreSubtotals="1" axis="axisRow" fieldPosition="0">
        <references count="1">
          <reference field="4294967294" count="1" selected="0">
            <x v="2"/>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E7917E-2616-4E7A-B0FE-F493F028F3C9}"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5:D23" firstHeaderRow="0" firstDataRow="1" firstDataCol="1"/>
  <pivotFields count="10">
    <pivotField axis="axisRow" showAll="0">
      <items count="8">
        <item x="5"/>
        <item x="3"/>
        <item x="6"/>
        <item x="0"/>
        <item x="2"/>
        <item x="1"/>
        <item x="4"/>
        <item t="default"/>
      </items>
    </pivotField>
    <pivotField dataField="1" showAll="0"/>
    <pivotField dataField="1" showAll="0"/>
    <pivotField showAll="0"/>
    <pivotField showAll="0"/>
    <pivotField showAll="0"/>
    <pivotField showAll="0">
      <items count="4">
        <item x="0"/>
        <item x="2"/>
        <item x="1"/>
        <item t="default"/>
      </items>
    </pivotField>
    <pivotField dataField="1" numFmtId="9" showAll="0">
      <items count="6">
        <item x="3"/>
        <item x="1"/>
        <item x="4"/>
        <item x="2"/>
        <item x="0"/>
        <item t="default"/>
      </items>
    </pivotField>
    <pivotField showAll="0"/>
    <pivotField numFmtId="164" showAll="0"/>
  </pivotFields>
  <rowFields count="1">
    <field x="0"/>
  </rowFields>
  <rowItems count="8">
    <i>
      <x/>
    </i>
    <i>
      <x v="1"/>
    </i>
    <i>
      <x v="2"/>
    </i>
    <i>
      <x v="3"/>
    </i>
    <i>
      <x v="4"/>
    </i>
    <i>
      <x v="5"/>
    </i>
    <i>
      <x v="6"/>
    </i>
    <i t="grand">
      <x/>
    </i>
  </rowItems>
  <colFields count="1">
    <field x="-2"/>
  </colFields>
  <colItems count="3">
    <i>
      <x/>
    </i>
    <i i="1">
      <x v="1"/>
    </i>
    <i i="2">
      <x v="2"/>
    </i>
  </colItems>
  <dataFields count="3">
    <dataField name="Sum of Total" fld="1" baseField="0" baseItem="0"/>
    <dataField name="Sum of Completion" fld="2" baseField="0" baseItem="0"/>
    <dataField name="Sum of Comp%" fld="7" baseField="0" baseItem="0" numFmtId="9"/>
  </dataFields>
  <formats count="6">
    <format dxfId="124">
      <pivotArea outline="0" collapsedLevelsAreSubtotals="1" fieldPosition="0">
        <references count="1">
          <reference field="4294967294" count="2" selected="0">
            <x v="0"/>
            <x v="1"/>
          </reference>
        </references>
      </pivotArea>
    </format>
    <format dxfId="123">
      <pivotArea field="0" type="button" dataOnly="0" labelOnly="1" outline="0" axis="axisRow" fieldPosition="0"/>
    </format>
    <format dxfId="122">
      <pivotArea field="0" grandRow="1" outline="0" collapsedLevelsAreSubtotals="1" axis="axisRow" fieldPosition="0">
        <references count="1">
          <reference field="4294967294" count="2" selected="0">
            <x v="0"/>
            <x v="1"/>
          </reference>
        </references>
      </pivotArea>
    </format>
    <format dxfId="121">
      <pivotArea dataOnly="0" labelOnly="1" outline="0" fieldPosition="0">
        <references count="1">
          <reference field="4294967294" count="3">
            <x v="0"/>
            <x v="1"/>
            <x v="2"/>
          </reference>
        </references>
      </pivotArea>
    </format>
    <format dxfId="120">
      <pivotArea collapsedLevelsAreSubtotals="1" fieldPosition="0">
        <references count="2">
          <reference field="4294967294" count="1" selected="0">
            <x v="2"/>
          </reference>
          <reference field="0" count="0"/>
        </references>
      </pivotArea>
    </format>
    <format dxfId="119">
      <pivotArea field="0" grandRow="1" outline="0" collapsedLevelsAreSubtotals="1" axis="axisRow" fieldPosition="0">
        <references count="1">
          <reference field="4294967294" count="1" selected="0">
            <x v="2"/>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AE4C60-2DD7-4610-93ED-66411AD3F95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11" firstHeaderRow="0" firstDataRow="1" firstDataCol="1"/>
  <pivotFields count="10">
    <pivotField axis="axisRow" showAll="0">
      <items count="8">
        <item x="5"/>
        <item x="3"/>
        <item x="6"/>
        <item x="0"/>
        <item x="2"/>
        <item x="1"/>
        <item x="4"/>
        <item t="default"/>
      </items>
    </pivotField>
    <pivotField dataField="1" showAll="0"/>
    <pivotField dataField="1" showAll="0"/>
    <pivotField dataField="1" showAll="0"/>
    <pivotField dataField="1" showAll="0"/>
    <pivotField dataField="1" showAll="0"/>
    <pivotField dataField="1" showAll="0">
      <items count="4">
        <item x="0"/>
        <item x="2"/>
        <item x="1"/>
        <item t="default"/>
      </items>
    </pivotField>
    <pivotField dataField="1" numFmtId="9" showAll="0"/>
    <pivotField dataField="1" showAll="0"/>
    <pivotField dataField="1" numFmtId="164" showAll="0"/>
  </pivotFields>
  <rowFields count="1">
    <field x="0"/>
  </rowFields>
  <rowItems count="8">
    <i>
      <x/>
    </i>
    <i>
      <x v="1"/>
    </i>
    <i>
      <x v="2"/>
    </i>
    <i>
      <x v="3"/>
    </i>
    <i>
      <x v="4"/>
    </i>
    <i>
      <x v="5"/>
    </i>
    <i>
      <x v="6"/>
    </i>
    <i t="grand">
      <x/>
    </i>
  </rowItems>
  <colFields count="1">
    <field x="-2"/>
  </colFields>
  <colItems count="9">
    <i>
      <x/>
    </i>
    <i i="1">
      <x v="1"/>
    </i>
    <i i="2">
      <x v="2"/>
    </i>
    <i i="3">
      <x v="3"/>
    </i>
    <i i="4">
      <x v="4"/>
    </i>
    <i i="5">
      <x v="5"/>
    </i>
    <i i="6">
      <x v="6"/>
    </i>
    <i i="7">
      <x v="7"/>
    </i>
    <i i="8">
      <x v="8"/>
    </i>
  </colItems>
  <dataFields count="9">
    <dataField name="Sum of Total" fld="1" baseField="0" baseItem="0"/>
    <dataField name="Sum of Completion" fld="2" baseField="0" baseItem="0"/>
    <dataField name="Sum of Received" fld="3" baseField="0" baseItem="0"/>
    <dataField name="Sum of Delayed" fld="4" baseField="0" baseItem="0"/>
    <dataField name="Sum of EOD" fld="5" baseField="0" baseItem="0"/>
    <dataField name="Sum of Poor Comm" fld="6" baseField="0" baseItem="0"/>
    <dataField name="Sum of Comp%" fld="7" baseField="0" baseItem="0" numFmtId="9"/>
    <dataField name="Sum of Critical At -Risk" fld="8" baseField="0" baseItem="0"/>
    <dataField name="Sum of Spend At-Risk" fld="9" baseField="0" baseItem="0" numFmtId="164"/>
  </dataFields>
  <formats count="7">
    <format dxfId="131">
      <pivotArea outline="0" collapsedLevelsAreSubtotals="1" fieldPosition="0">
        <references count="1">
          <reference field="4294967294" count="8" selected="0">
            <x v="0"/>
            <x v="1"/>
            <x v="2"/>
            <x v="3"/>
            <x v="4"/>
            <x v="5"/>
            <x v="6"/>
            <x v="7"/>
          </reference>
        </references>
      </pivotArea>
    </format>
    <format dxfId="130">
      <pivotArea field="0" type="button" dataOnly="0" labelOnly="1" outline="0" axis="axisRow" fieldPosition="0"/>
    </format>
    <format dxfId="129">
      <pivotArea dataOnly="0" labelOnly="1" outline="0" fieldPosition="0">
        <references count="1">
          <reference field="4294967294" count="9">
            <x v="0"/>
            <x v="1"/>
            <x v="2"/>
            <x v="3"/>
            <x v="4"/>
            <x v="5"/>
            <x v="6"/>
            <x v="7"/>
            <x v="8"/>
          </reference>
        </references>
      </pivotArea>
    </format>
    <format dxfId="128">
      <pivotArea field="0" grandRow="1" outline="0" collapsedLevelsAreSubtotals="1" axis="axisRow" fieldPosition="0">
        <references count="1">
          <reference field="4294967294" count="1" selected="0">
            <x v="8"/>
          </reference>
        </references>
      </pivotArea>
    </format>
    <format dxfId="127">
      <pivotArea field="0" grandRow="1" outline="0" collapsedLevelsAreSubtotals="1" axis="axisRow" fieldPosition="0">
        <references count="1">
          <reference field="4294967294" count="1" selected="0">
            <x v="7"/>
          </reference>
        </references>
      </pivotArea>
    </format>
    <format dxfId="126">
      <pivotArea field="0" grandRow="1" outline="0" collapsedLevelsAreSubtotals="1" axis="axisRow" fieldPosition="0">
        <references count="1">
          <reference field="4294967294" count="1" selected="0">
            <x v="8"/>
          </reference>
        </references>
      </pivotArea>
    </format>
    <format dxfId="125">
      <pivotArea field="0" grandRow="1" outline="0" collapsedLevelsAreSubtotals="1" axis="axisRow" fieldPosition="0">
        <references count="1">
          <reference field="4294967294" count="1" selected="0">
            <x v="8"/>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53BAD7-D1A4-4AD1-8137-7D06BA719077}" name="Table2" displayName="Table2" ref="A30:J38" totalsRowShown="0" headerRowDxfId="111" dataDxfId="110">
  <tableColumns count="10">
    <tableColumn id="1" xr3:uid="{9B71CB82-76B8-4C42-A753-33821227992A}" name="Coordinator"/>
    <tableColumn id="2" xr3:uid="{8419D30E-E941-49AB-9367-016CD78041F0}" name="Total" dataDxfId="109"/>
    <tableColumn id="3" xr3:uid="{8628BE3F-AEBE-4DA5-870E-E3EB8301FDD6}" name="Completion" dataDxfId="108"/>
    <tableColumn id="4" xr3:uid="{D15D730A-E840-49FF-9769-8FDBC01F4854}" name="Received" dataDxfId="107"/>
    <tableColumn id="5" xr3:uid="{B4E136CD-8F23-429E-89A7-2F10AE6E71C2}" name="Delayed" dataDxfId="106"/>
    <tableColumn id="6" xr3:uid="{B907EA9D-9E33-4626-8EC9-13ED75AEDD4F}" name="EOD" dataDxfId="105"/>
    <tableColumn id="7" xr3:uid="{565BE41F-E421-44D7-ABD9-829FB0092E65}" name="Poor Comm" dataDxfId="104"/>
    <tableColumn id="8" xr3:uid="{DBA243D7-6377-4E00-A91A-3A901553C520}" name="Comp%" dataDxfId="103">
      <calculatedColumnFormula>IFERROR(C31/B31,0)</calculatedColumnFormula>
    </tableColumn>
    <tableColumn id="9" xr3:uid="{56D00F55-2F99-4946-847F-F3C589DBE1F6}" name="Critical At -Risk" dataDxfId="102"/>
    <tableColumn id="10" xr3:uid="{A70FE205-466F-4C97-BACB-7703DE27F914}" name="Spend At-Risk" dataDxfId="10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269346-885D-42CF-9DAE-B6F83997447E}" name="Table4" displayName="Table4" ref="F60:I70" totalsRowShown="0" headerRowDxfId="100" headerRowBorderDxfId="99">
  <tableColumns count="4">
    <tableColumn id="1" xr3:uid="{31BFCD68-2E38-4158-A34F-EB9F4322BB42}" name="Supplier" dataDxfId="98"/>
    <tableColumn id="2" xr3:uid="{23EB4AAA-53B3-4792-AB99-A2353C19D51C}" name="Coordinator" dataDxfId="97"/>
    <tableColumn id="3" xr3:uid="{F2B11C38-AE59-425B-A000-E6ED07D0FAC5}" name="Status"/>
    <tableColumn id="4" xr3:uid="{E36B44FF-8D24-477B-B769-DE44A57DD330}" name="Annual $" dataDxfId="9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ssignments" displayName="Assignments" ref="A17:L387" headerRowDxfId="95" dataDxfId="93" totalsRowDxfId="92" headerRowBorderDxfId="94">
  <tableColumns count="12">
    <tableColumn id="1" xr3:uid="{00000000-0010-0000-0000-000001000000}" name="Coordinator" dataDxfId="91"/>
    <tableColumn id="2" xr3:uid="{00000000-0010-0000-0000-000002000000}" name="Company ID" dataDxfId="90"/>
    <tableColumn id="3" xr3:uid="{00000000-0010-0000-0000-000003000000}" name="Company Name" dataDxfId="89"/>
    <tableColumn id="4" xr3:uid="{00000000-0010-0000-0000-000004000000}" name="Service Type" dataDxfId="88"/>
    <tableColumn id="5" xr3:uid="{00000000-0010-0000-0000-000005000000}" name="Critical" dataDxfId="87"/>
    <tableColumn id="6" xr3:uid="{00000000-0010-0000-0000-000006000000}" name="Annual Spend" dataDxfId="86"/>
    <tableColumn id="7" xr3:uid="{00000000-0010-0000-0000-000007000000}" name="Contact Name" dataDxfId="85"/>
    <tableColumn id="8" xr3:uid="{00000000-0010-0000-0000-000008000000}" name="Contact Phone" dataDxfId="84"/>
    <tableColumn id="9" xr3:uid="{00000000-0010-0000-0000-000009000000}" name="Contact Email" dataDxfId="83"/>
    <tableColumn id="10" xr3:uid="{7F6302C9-032B-4023-9768-BA9C6A45D12B}" name="Comm Notes" dataDxfId="82">
      <calculatedColumnFormula array="1">_xlfn.XLOOKUP(Assignments[[#This Row],[Company ID]], INDIRECT("'"&amp;Assignments[[#This Row],[Coordinator]]&amp;"'!$B:$B"), INDIRECT("'"&amp;Assignments[[#This Row],[Coordinator]]&amp;"'!$J:$J"), "")</calculatedColumnFormula>
    </tableColumn>
    <tableColumn id="11" xr3:uid="{80A6BEBB-3EEB-45C3-8862-EDB796BA3BFF}" name="Satus" dataDxfId="81">
      <calculatedColumnFormula array="1">_xlfn.XLOOKUP(Assignments[[#This Row],[Company ID]], INDIRECT("'"&amp;Assignments[[#This Row],[Coordinator]]&amp;"'!$B:$B"), INDIRECT("'"&amp;Assignments[[#This Row],[Coordinator]]&amp;"'!$K:$K"), "")</calculatedColumnFormula>
    </tableColumn>
    <tableColumn id="12" xr3:uid="{F7EEBD8F-4BB9-46DC-90E2-CE2E37DAD5EE}" name="Onboard Success" dataDxfId="80">
      <calculatedColumnFormula array="1">_xlfn.XLOOKUP(Assignments[[#This Row],[Company ID]], INDIRECT("'"&amp;Assignments[[#This Row],[Coordinator]]&amp;"'!$B:$B"), INDIRECT("'"&amp;Assignments[[#This Row],[Coordinator]]&amp;"'!$L:$L"), "")</calculatedColumnFormula>
    </tableColumn>
  </tableColumns>
  <tableStyleInfo name="TableStyleMedium1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731C7C5-046C-439A-BCFC-A9DEA6551C46}" name="Table11" displayName="Table11" ref="A5:O58" totalsRowShown="0" headerRowDxfId="79">
  <autoFilter ref="A5:O58" xr:uid="{3731C7C5-046C-439A-BCFC-A9DEA6551C46}"/>
  <sortState xmlns:xlrd2="http://schemas.microsoft.com/office/spreadsheetml/2017/richdata2" ref="A6:O58">
    <sortCondition ref="C5:C58"/>
  </sortState>
  <tableColumns count="15">
    <tableColumn id="1" xr3:uid="{9896A9E2-69CF-46BA-8FEB-1A839C48CF15}" name="Coordinator"/>
    <tableColumn id="2" xr3:uid="{B24622B5-611D-4F45-9539-C0BE5D6FEE11}" name="Company ID" dataDxfId="78"/>
    <tableColumn id="3" xr3:uid="{48D43402-D87F-4C2B-AE1B-9813BB651F98}" name="Company Name"/>
    <tableColumn id="4" xr3:uid="{B9553A57-F960-4B06-A7EC-A9420D0E9C56}" name="Service Type" dataDxfId="77"/>
    <tableColumn id="5" xr3:uid="{B329F309-8C26-456C-802A-70795CAF39BA}" name="Critical"/>
    <tableColumn id="6" xr3:uid="{CDF73D8B-5931-4056-BFBE-D55600E3DC98}" name="Annual Spend" dataDxfId="76"/>
    <tableColumn id="7" xr3:uid="{92616A73-5FD4-49E8-86C7-0ADBF8D89A54}" name="Contact Name"/>
    <tableColumn id="8" xr3:uid="{D43B5851-5B54-4D59-BDF7-08765776C50B}" name="Contact Phone"/>
    <tableColumn id="9" xr3:uid="{4EB0E164-330F-49F1-BB46-9F0A08C2DF8D}" name="Contact Email"/>
    <tableColumn id="10" xr3:uid="{C91C3985-ECF1-44EA-AFF4-F3ECD8DBBF15}" name="Comm Notes" dataDxfId="75"/>
    <tableColumn id="11" xr3:uid="{C8B473E8-AD42-41A7-BEC1-824F231A690B}" name="Satus" dataDxfId="74"/>
    <tableColumn id="12" xr3:uid="{E3E5D82A-F270-4B25-9F84-474E7E2BDF3B}" name="Onboard Success" dataDxfId="73">
      <calculatedColumnFormula>IF(COUNTIF(M6:O6, TRUE) =3,TRUE, IF(COUNTIF(M6:O6,TRUE)&gt;=1,"RECEIVED", FALSE))</calculatedColumnFormula>
    </tableColumn>
    <tableColumn id="13" xr3:uid="{7E1E2923-AB67-40E0-A1A8-12435A005B80}" name="COI"/>
    <tableColumn id="14" xr3:uid="{F89955D1-AC0D-46B8-B43D-8F47D9C52184}" name="Spend"/>
    <tableColumn id="15" xr3:uid="{BFCF415C-5CA9-494F-9EF9-D748ACE09E25}" name="W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0654C4C-F6A9-4934-AAB0-22CC95BA5A2F}" name="Table12" displayName="Table12" ref="A5:O58" totalsRowShown="0" headerRowDxfId="72">
  <autoFilter ref="A5:O58" xr:uid="{90654C4C-F6A9-4934-AAB0-22CC95BA5A2F}"/>
  <sortState xmlns:xlrd2="http://schemas.microsoft.com/office/spreadsheetml/2017/richdata2" ref="A6:O58">
    <sortCondition ref="C5:C58"/>
  </sortState>
  <tableColumns count="15">
    <tableColumn id="1" xr3:uid="{77A2ACFB-F73D-451F-B861-4AB6ADB93421}" name="Coordinator"/>
    <tableColumn id="2" xr3:uid="{684B5F5D-9D49-4978-8950-975125AFCCDF}" name="Company ID" dataDxfId="71"/>
    <tableColumn id="3" xr3:uid="{47227280-D31F-4BD3-8B5A-069741D4E11F}" name="Company Name"/>
    <tableColumn id="4" xr3:uid="{93F81876-4F06-4B5D-8C5B-FAAC4BD3C05D}" name="Service Type" dataDxfId="70"/>
    <tableColumn id="5" xr3:uid="{C8FFE65A-C7ED-4FE1-9940-C7CE6100131A}" name="Critical"/>
    <tableColumn id="6" xr3:uid="{6B3C89F9-EAE4-4A70-9CA2-067F8DB974D4}" name="Annual Spend" dataDxfId="69"/>
    <tableColumn id="7" xr3:uid="{3D8DFDF8-C6AA-4589-A271-A8948CEF33B6}" name="Contact Name"/>
    <tableColumn id="8" xr3:uid="{2FE3074E-AC37-4F25-985D-3A0CEF8599C9}" name="Contact Phone"/>
    <tableColumn id="9" xr3:uid="{C8606733-B737-4FF8-A60B-FC36211CF0C3}" name="Contact Email"/>
    <tableColumn id="10" xr3:uid="{C272FBD3-A3C7-4A0C-B53F-69C30123125F}" name="Comm Notes"/>
    <tableColumn id="11" xr3:uid="{30748B19-4E7B-410A-AC49-A1984B43802A}" name="Satus"/>
    <tableColumn id="12" xr3:uid="{F05285E5-9F8B-4A94-B9D4-2C3ED8BBB833}" name="Onboard Success" dataDxfId="68">
      <calculatedColumnFormula>IF(COUNTIF(M6:O6,TRUE)=3,TRUE,IF(COUNTIF(M6:O6,TRUE)&gt;=1,"RECEIVED",FALSE))</calculatedColumnFormula>
    </tableColumn>
    <tableColumn id="13" xr3:uid="{A3D36EDA-E640-4178-A38F-7D7A1365B7E6}" name="COI"/>
    <tableColumn id="14" xr3:uid="{286A1410-ABA1-4705-874D-9F945A05EB33}" name="Spend"/>
    <tableColumn id="15" xr3:uid="{EA8DDE1B-95EB-4998-ABF9-0E8134D56848}" name="W9"/>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64D07C-057D-471E-A487-ED5C6FB5FA11}" name="Table5" displayName="Table5" ref="A5:P58" totalsRowShown="0" headerRowDxfId="67">
  <autoFilter ref="A5:P58" xr:uid="{9564D07C-057D-471E-A487-ED5C6FB5FA11}"/>
  <sortState xmlns:xlrd2="http://schemas.microsoft.com/office/spreadsheetml/2017/richdata2" ref="A6:P58">
    <sortCondition ref="C5:C58"/>
  </sortState>
  <tableColumns count="16">
    <tableColumn id="1" xr3:uid="{437A872A-51B2-4897-AA70-DC12F646201E}" name="Coordinator"/>
    <tableColumn id="2" xr3:uid="{FA4D1FBA-1A03-4E1D-B7F7-855DB1E06BC6}" name="Company ID" dataDxfId="66"/>
    <tableColumn id="3" xr3:uid="{6AFB9889-2C25-47DC-8874-5E184954070B}" name="Company Name"/>
    <tableColumn id="4" xr3:uid="{D44435ED-97CD-4986-AAAA-F9B0F5B9B1F4}" name="Service Type" dataDxfId="65"/>
    <tableColumn id="5" xr3:uid="{11C5D080-488A-426F-ABE0-740E855512D1}" name="Critical"/>
    <tableColumn id="6" xr3:uid="{285719D7-DFB1-4180-908F-ACE08BFAC550}" name="Annual Spend" dataDxfId="64"/>
    <tableColumn id="7" xr3:uid="{9DFEDBA8-C6FF-4726-8AAE-D4E6EE4E74CD}" name="Contact Name"/>
    <tableColumn id="8" xr3:uid="{B348AD3A-EAE1-4FCF-A523-C94B4146FF4B}" name="Contact Phone"/>
    <tableColumn id="9" xr3:uid="{B52ED6EC-F6B1-4CD0-93A7-10D2C0479479}" name="Contact Email" dataDxfId="63"/>
    <tableColumn id="10" xr3:uid="{C7158590-076E-4551-8CA0-B3384F87BBC6}" name="Comm Notes" dataDxfId="62">
      <calculatedColumnFormula>VLOOKUP(Table5[[#This Row],[Company ID]],'[1]Coordinator Notes'!$B:$C,2,FALSE)</calculatedColumnFormula>
    </tableColumn>
    <tableColumn id="11" xr3:uid="{2A06977F-7444-46A0-B5E8-8801E22DE3E8}" name="Satus" dataDxfId="61">
      <calculatedColumnFormula>VLOOKUP(Table5[[#This Row],[Company ID]],'[1]Coordinator Notes'!$B:$D,3,FALSE)</calculatedColumnFormula>
    </tableColumn>
    <tableColumn id="12" xr3:uid="{C2B87AB8-DF80-4DF7-94B7-FF620BBBF420}" name="Onboard Success" dataDxfId="60">
      <calculatedColumnFormula>IF(COUNTIF(M6:O6, TRUE) =3,TRUE, IF(COUNTIF(M6:O6,TRUE)&gt;=1,"RECEIVED", FALSE))</calculatedColumnFormula>
    </tableColumn>
    <tableColumn id="13" xr3:uid="{FC2E6985-66BE-4552-879D-93C4933E743B}" name="COI" dataDxfId="59"/>
    <tableColumn id="14" xr3:uid="{B6CA8523-15B3-4869-B862-1FF81CCC9171}" name="W9" dataDxfId="58"/>
    <tableColumn id="15" xr3:uid="{643B2C21-4E8C-47B8-B15D-9C7AE9425ABA}" name="Spend" dataDxfId="57"/>
    <tableColumn id="16" xr3:uid="{01B4FA01-6641-4753-9B90-48AF385FC692}" nam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5204C4-1C86-4132-BA71-39F26B4F24E0}" name="Table6" displayName="Table6" ref="A5:O58" totalsRowShown="0" headerRowDxfId="56">
  <autoFilter ref="A5:O58" xr:uid="{165204C4-1C86-4132-BA71-39F26B4F24E0}"/>
  <sortState xmlns:xlrd2="http://schemas.microsoft.com/office/spreadsheetml/2017/richdata2" ref="A6:O58">
    <sortCondition ref="C5:C58"/>
  </sortState>
  <tableColumns count="15">
    <tableColumn id="1" xr3:uid="{CF0279DD-87A5-49A4-B560-C29E0F433763}" name="Coordinator"/>
    <tableColumn id="2" xr3:uid="{E6509602-B852-42DB-931C-52B1F9DC2F00}" name="Company ID" dataDxfId="55"/>
    <tableColumn id="3" xr3:uid="{2A15A105-DA19-49A4-A117-F208958F2BDC}" name="Company Name"/>
    <tableColumn id="4" xr3:uid="{62F534CA-3024-4B9B-8D68-8023EB7E776D}" name="Service Type" dataDxfId="54"/>
    <tableColumn id="5" xr3:uid="{1E1BEE59-10BD-42CB-B75E-6FE3349FF9E4}" name="Critical"/>
    <tableColumn id="6" xr3:uid="{A1CCDE36-A6C3-4D9B-9EFF-C4D1E3B47B3C}" name="Annual Spend" dataDxfId="53"/>
    <tableColumn id="7" xr3:uid="{804E13D3-4369-4A90-97BE-7643322EEF51}" name="Contact Name"/>
    <tableColumn id="8" xr3:uid="{04593396-7B4A-4855-91E0-AEBB8C2FCA85}" name="Contact Phone"/>
    <tableColumn id="9" xr3:uid="{0F2B2C47-BD52-4736-A82E-D45B3BFC4291}" name="Contact Email" dataDxfId="52"/>
    <tableColumn id="10" xr3:uid="{556B76D9-236C-49C4-9B7D-43DB060EF8F9}" name="Comm Notes" dataDxfId="51"/>
    <tableColumn id="11" xr3:uid="{CECD6D16-A43B-4DFD-A611-ADCDFB8A836F}" name="Satus" dataDxfId="50">
      <calculatedColumnFormula>VLOOKUP(Table6[[#This Row],[Company ID]],'[1]Coordinator Notes'!$B:$D,3,FALSE)</calculatedColumnFormula>
    </tableColumn>
    <tableColumn id="12" xr3:uid="{40327C78-5D79-478B-A94E-DE2E0A8B78A7}" name="Onboard Success" dataDxfId="49">
      <calculatedColumnFormula>IF(COUNTIF(M6:O6, TRUE) =3,TRUE, IF(COUNTIF(M6:O6,TRUE)&gt;=1,"RECEIVED", FALSE))</calculatedColumnFormula>
    </tableColumn>
    <tableColumn id="13" xr3:uid="{659B3B41-1D2C-46AD-88AC-B8A29C6906AE}" name="COI" dataDxfId="48"/>
    <tableColumn id="14" xr3:uid="{5D52845B-A765-4E56-9B42-44B9182E4C6B}" name="W9" dataDxfId="47"/>
    <tableColumn id="15" xr3:uid="{FCC4439E-B0BA-4561-8C8B-2F77B1172764}" name="Spend" dataDxfId="46"/>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EF98E36-5973-45EC-B0E0-07EDE0F258E5}" name="Table8" displayName="Table8" ref="A5:O58" totalsRowShown="0" headerRowDxfId="45">
  <autoFilter ref="A5:O58" xr:uid="{8EF98E36-5973-45EC-B0E0-07EDE0F258E5}"/>
  <sortState xmlns:xlrd2="http://schemas.microsoft.com/office/spreadsheetml/2017/richdata2" ref="A6:O58">
    <sortCondition ref="C5:C58"/>
  </sortState>
  <tableColumns count="15">
    <tableColumn id="1" xr3:uid="{C813C114-5820-4E94-A32C-655EFD602C33}" name="Coordinator"/>
    <tableColumn id="2" xr3:uid="{CDBE2C00-E1A0-4C91-8F58-A9823CFD080F}" name="Company ID" dataDxfId="44"/>
    <tableColumn id="3" xr3:uid="{1418D139-3A4D-4993-9FA3-780F92EF50B6}" name="Company Name"/>
    <tableColumn id="4" xr3:uid="{3BBDF356-1B59-4417-BA5A-E46955784D41}" name="Service Type" dataDxfId="43"/>
    <tableColumn id="5" xr3:uid="{6ADE34BB-83C6-4DFC-B248-AD8961FE0E74}" name="Critical"/>
    <tableColumn id="6" xr3:uid="{B9527952-F01F-46D9-B854-E7D7969EEA51}" name="Annual Spend" dataDxfId="42"/>
    <tableColumn id="7" xr3:uid="{B3CB6FA1-1C6C-47A7-8561-61431B69FF05}" name="Contact Name"/>
    <tableColumn id="8" xr3:uid="{2E92CF8B-E2E8-42D6-B5C6-A0446ACA3174}" name="Contact Phone"/>
    <tableColumn id="9" xr3:uid="{C9CB5D7C-6ADE-451A-936A-42A0EF90086B}" name="Contact Email" dataDxfId="41"/>
    <tableColumn id="10" xr3:uid="{46C006EB-990D-4592-AF67-C835A122BFBF}" name="Comm Notes" dataDxfId="40">
      <calculatedColumnFormula>VLOOKUP(Table8[[#This Row],[Company ID]],'[1]Coordinator Notes'!$B:$C,2,FALSE)</calculatedColumnFormula>
    </tableColumn>
    <tableColumn id="11" xr3:uid="{E5A96959-4388-487A-BB12-1DC4D249B289}" name="Satus" dataDxfId="39">
      <calculatedColumnFormula>VLOOKUP(Table8[[#This Row],[Company ID]],'[1]Coordinator Notes'!$B:$D,3,FALSE)</calculatedColumnFormula>
    </tableColumn>
    <tableColumn id="12" xr3:uid="{042589BD-C1B0-4424-8540-C9536DD03915}" name="Onboard Success" dataDxfId="38">
      <calculatedColumnFormula>IF(COUNTIF(M6:O6, TRUE) =3,TRUE, IF(COUNTIF(M6:O6,TRUE)&gt;=1,"RECEIVED", FALSE))</calculatedColumnFormula>
    </tableColumn>
    <tableColumn id="13" xr3:uid="{7D43F08F-E038-4621-93D7-D6AF846C1A94}" name="COI"/>
    <tableColumn id="14" xr3:uid="{246D47E3-89EC-4718-B1E2-341AA448AA72}" name="W9"/>
    <tableColumn id="15" xr3:uid="{7B8CAE50-B218-4D02-882B-5C6B8278EA27}" name="Spend"/>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0C33725-E1BF-4939-A7A8-FD8FFB056CF9}" name="Table9" displayName="Table9" ref="A5:O58" totalsRowShown="0" headerRowDxfId="37">
  <autoFilter ref="A5:O58" xr:uid="{90C33725-E1BF-4939-A7A8-FD8FFB056CF9}"/>
  <tableColumns count="15">
    <tableColumn id="1" xr3:uid="{91505C24-D3B5-454A-949A-9F1E3E212BA1}" name="Coordinator"/>
    <tableColumn id="2" xr3:uid="{3E010650-BB53-443E-B18A-5D5A39C98159}" name="Company ID" dataDxfId="36"/>
    <tableColumn id="3" xr3:uid="{7EB14EA1-6941-4A37-9EEC-A3FF91ADE07E}" name="Company Name"/>
    <tableColumn id="4" xr3:uid="{D109EF6D-02D7-4AFC-9831-25F676EC97D5}" name="Service Type" dataDxfId="35"/>
    <tableColumn id="5" xr3:uid="{A97A7518-B59B-4981-BC40-78DF1BA129AF}" name="Critical"/>
    <tableColumn id="6" xr3:uid="{B670B363-2E5D-46ED-9D54-36C2D07EDA02}" name="Annual Spend" dataDxfId="34"/>
    <tableColumn id="7" xr3:uid="{16A76765-BABB-4C77-84EB-10B2391E3E96}" name="Contact Name"/>
    <tableColumn id="8" xr3:uid="{C0F83839-74CE-4ECD-83C8-485E179F9C34}" name="Contact Phone"/>
    <tableColumn id="9" xr3:uid="{EECC6228-2A7C-4FFE-ABA6-5EE9316B5114}" name="Contact Email" dataDxfId="33"/>
    <tableColumn id="10" xr3:uid="{3F4FAF56-BE88-41EB-BB2B-765AB7E26A01}" name="Comm Notes" dataDxfId="32">
      <calculatedColumnFormula>VLOOKUP(Table9[[#This Row],[Company ID]],'[1]Coordinator Notes'!$B:$C,2,FALSE)</calculatedColumnFormula>
    </tableColumn>
    <tableColumn id="11" xr3:uid="{29ECFCBD-A5B2-4805-8E12-F783389289C9}" name="Satus" dataDxfId="31">
      <calculatedColumnFormula>VLOOKUP(Table9[[#This Row],[Company ID]],'[1]Coordinator Notes'!$B:$D,3,FALSE)</calculatedColumnFormula>
    </tableColumn>
    <tableColumn id="12" xr3:uid="{B7BC70D7-D91C-4E1E-8FEC-8E349F6631E7}" name="Onboard Success" dataDxfId="30">
      <calculatedColumnFormula>IF(COUNTIF(M6:O6, TRUE) =3,TRUE, IF(COUNTIF(M6:O6,TRUE)&gt;=1,"RECEIVED", FALSE))</calculatedColumnFormula>
    </tableColumn>
    <tableColumn id="13" xr3:uid="{E1ED2788-C81D-470B-8280-AC8535C57F5F}" name="COI" dataDxfId="29"/>
    <tableColumn id="14" xr3:uid="{D4C08606-548C-494D-9E64-CB92DF875218}" name="W9" dataDxfId="28"/>
    <tableColumn id="15" xr3:uid="{CB0F954A-C41A-4446-8339-ADDA8A1C7139}" name="Spend" dataDxfId="27"/>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96B3A6E-7207-4FFC-9FE8-748F1526E5B8}" name="Table10" displayName="Table10" ref="A5:O57" totalsRowShown="0" headerRowDxfId="26">
  <autoFilter ref="A5:O57" xr:uid="{D96B3A6E-7207-4FFC-9FE8-748F1526E5B8}"/>
  <tableColumns count="15">
    <tableColumn id="1" xr3:uid="{94B697BB-475C-439B-8274-7906CF112E86}" name="Coordinator"/>
    <tableColumn id="2" xr3:uid="{AA6C8264-20DE-46B2-A622-8A612828747E}" name="Company ID" dataDxfId="25"/>
    <tableColumn id="3" xr3:uid="{48396CAD-6E6A-4FE5-BACD-AB797E238699}" name="Company Name"/>
    <tableColumn id="4" xr3:uid="{B5DA9D32-5DD8-4D65-ADD1-AACB98212135}" name="Service Type" dataDxfId="24"/>
    <tableColumn id="5" xr3:uid="{34625F88-751E-43A3-B3EB-373F39249FE2}" name="Critical"/>
    <tableColumn id="6" xr3:uid="{1B8E6329-2317-4158-AAAB-1239460AFA26}" name="Annual Spend" dataDxfId="23" dataCellStyle="Currency"/>
    <tableColumn id="7" xr3:uid="{A1C40954-A478-4C5B-93D6-35CD12C9B452}" name="Contact Name"/>
    <tableColumn id="8" xr3:uid="{C8F9953D-C243-4C41-86ED-4FE120160BC9}" name="Contact Phone" dataDxfId="22"/>
    <tableColumn id="9" xr3:uid="{D72972BE-B48C-46AA-AA6D-D2D2ED49AF9B}" name="Contact Email" dataDxfId="21"/>
    <tableColumn id="10" xr3:uid="{AAB72C5D-89CE-45F2-98AA-B03AB12659DF}" name="Comm Notes" dataDxfId="20"/>
    <tableColumn id="11" xr3:uid="{079F6BF8-4745-4F8F-A26C-3970ADFFE476}" name="Satus" dataDxfId="19">
      <calculatedColumnFormula>VLOOKUP(Table10[[#This Row],[Company ID]],'[1]Coordinator Notes'!$B:$D,3,FALSE)</calculatedColumnFormula>
    </tableColumn>
    <tableColumn id="12" xr3:uid="{AC554D88-9473-4EBB-A68F-13DEEA31428F}" name="Onboard Success" dataDxfId="18">
      <calculatedColumnFormula>IF(COUNTIF(M6:O6, TRUE) =3,TRUE, IF(COUNTIF(M6:O6,TRUE)&gt;=1,"RECEIVED", FALSE))</calculatedColumnFormula>
    </tableColumn>
    <tableColumn id="13" xr3:uid="{59320A3A-7D9B-4213-B13B-4AD8FAA29B75}" name="COI" dataDxfId="17"/>
    <tableColumn id="14" xr3:uid="{2F2C7684-E4FC-4D2F-88CC-920B790D32A9}" name="W9" dataDxfId="16"/>
    <tableColumn id="15" xr3:uid="{98700A0F-2FB7-4A5C-973B-89133A680C89}" name="Spend" dataDxfId="1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50965-87E9-4E1D-BE10-EF4FA97FCF12}">
  <sheetPr>
    <tabColor theme="0" tint="-0.499984740745262"/>
  </sheetPr>
  <dimension ref="A20:BC103"/>
  <sheetViews>
    <sheetView showGridLines="0" tabSelected="1" zoomScale="80" zoomScaleNormal="80" workbookViewId="0">
      <selection activeCell="AG11" sqref="AG11"/>
    </sheetView>
  </sheetViews>
  <sheetFormatPr defaultRowHeight="15" x14ac:dyDescent="0.25"/>
  <cols>
    <col min="1" max="20" width="9.140625" style="35"/>
    <col min="21" max="21" width="9.140625" style="35" customWidth="1"/>
    <col min="22" max="55" width="9.140625" style="35"/>
  </cols>
  <sheetData>
    <row r="20" spans="3:3" ht="18.75" x14ac:dyDescent="0.3">
      <c r="C20" s="54" t="s">
        <v>1659</v>
      </c>
    </row>
    <row r="50" spans="3:3" ht="18.75" x14ac:dyDescent="0.3">
      <c r="C50" s="55" t="s">
        <v>1665</v>
      </c>
    </row>
    <row r="71" spans="3:3" ht="18.75" x14ac:dyDescent="0.3">
      <c r="C71" s="54" t="s">
        <v>1660</v>
      </c>
    </row>
    <row r="103" spans="3:3" ht="21" x14ac:dyDescent="0.35">
      <c r="C103" s="56" t="s">
        <v>1666</v>
      </c>
    </row>
  </sheetData>
  <phoneticPr fontId="2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03E0-1759-4B58-9B6D-C745D9D28050}">
  <sheetPr>
    <tabColor rgb="FFC00000"/>
  </sheetPr>
  <dimension ref="A3:J36"/>
  <sheetViews>
    <sheetView zoomScale="90" zoomScaleNormal="90" workbookViewId="0">
      <selection activeCell="E6" sqref="E6"/>
    </sheetView>
  </sheetViews>
  <sheetFormatPr defaultRowHeight="15" x14ac:dyDescent="0.25"/>
  <cols>
    <col min="1" max="1" width="16.140625" bestFit="1" customWidth="1"/>
    <col min="2" max="2" width="12" bestFit="1" customWidth="1"/>
    <col min="3" max="3" width="18.28515625" bestFit="1" customWidth="1"/>
    <col min="4" max="4" width="17.5703125" customWidth="1"/>
    <col min="5" max="5" width="16.140625" bestFit="1" customWidth="1"/>
    <col min="6" max="6" width="12" bestFit="1" customWidth="1"/>
    <col min="7" max="7" width="16.140625" bestFit="1" customWidth="1"/>
    <col min="8" max="8" width="14.42578125" bestFit="1" customWidth="1"/>
    <col min="9" max="9" width="18.28515625" bestFit="1" customWidth="1"/>
    <col min="10" max="10" width="15.85546875" bestFit="1" customWidth="1"/>
    <col min="11" max="11" width="15" bestFit="1" customWidth="1"/>
    <col min="12" max="12" width="11.28515625" bestFit="1" customWidth="1"/>
    <col min="13" max="13" width="18.140625" bestFit="1" customWidth="1"/>
    <col min="14" max="14" width="14.42578125" bestFit="1" customWidth="1"/>
    <col min="15" max="15" width="21.140625" bestFit="1" customWidth="1"/>
  </cols>
  <sheetData>
    <row r="3" spans="1:10" x14ac:dyDescent="0.25">
      <c r="A3" s="40" t="s">
        <v>1641</v>
      </c>
      <c r="B3" s="2" t="s">
        <v>1643</v>
      </c>
      <c r="C3" s="2" t="s">
        <v>1644</v>
      </c>
      <c r="D3" s="2" t="s">
        <v>1645</v>
      </c>
      <c r="E3" s="2" t="s">
        <v>1646</v>
      </c>
      <c r="F3" s="2" t="s">
        <v>1649</v>
      </c>
      <c r="G3" s="2" t="s">
        <v>1647</v>
      </c>
      <c r="H3" s="2" t="s">
        <v>1650</v>
      </c>
      <c r="I3" s="2" t="s">
        <v>1648</v>
      </c>
      <c r="J3" s="2" t="s">
        <v>1640</v>
      </c>
    </row>
    <row r="4" spans="1:10" x14ac:dyDescent="0.25">
      <c r="A4" s="20" t="s">
        <v>1073</v>
      </c>
      <c r="B4" s="2">
        <v>53</v>
      </c>
      <c r="C4" s="2">
        <v>20</v>
      </c>
      <c r="D4" s="2">
        <v>20</v>
      </c>
      <c r="E4" s="2">
        <v>6</v>
      </c>
      <c r="F4" s="2">
        <v>0</v>
      </c>
      <c r="G4" s="2">
        <v>7</v>
      </c>
      <c r="H4" s="29">
        <v>0.37735849056603776</v>
      </c>
      <c r="I4" s="2">
        <v>3</v>
      </c>
      <c r="J4" s="4">
        <v>1180400</v>
      </c>
    </row>
    <row r="5" spans="1:10" x14ac:dyDescent="0.25">
      <c r="A5" s="20" t="s">
        <v>659</v>
      </c>
      <c r="B5" s="2">
        <v>53</v>
      </c>
      <c r="C5" s="2">
        <v>20</v>
      </c>
      <c r="D5" s="2">
        <v>10</v>
      </c>
      <c r="E5" s="2">
        <v>11</v>
      </c>
      <c r="F5" s="2">
        <v>12</v>
      </c>
      <c r="G5" s="2">
        <v>0</v>
      </c>
      <c r="H5" s="29">
        <v>0.37735849056603776</v>
      </c>
      <c r="I5" s="2">
        <v>4</v>
      </c>
      <c r="J5" s="4">
        <v>1656700</v>
      </c>
    </row>
    <row r="6" spans="1:10" x14ac:dyDescent="0.25">
      <c r="A6" s="20" t="s">
        <v>1275</v>
      </c>
      <c r="B6" s="2">
        <v>52</v>
      </c>
      <c r="C6" s="2">
        <v>15</v>
      </c>
      <c r="D6" s="2">
        <v>19</v>
      </c>
      <c r="E6" s="2">
        <v>10</v>
      </c>
      <c r="F6" s="2">
        <v>0</v>
      </c>
      <c r="G6" s="2">
        <v>8</v>
      </c>
      <c r="H6" s="29">
        <v>0.28846153846153844</v>
      </c>
      <c r="I6" s="2">
        <v>2</v>
      </c>
      <c r="J6" s="4">
        <v>1303600</v>
      </c>
    </row>
    <row r="7" spans="1:10" x14ac:dyDescent="0.25">
      <c r="A7" s="20" t="s">
        <v>9</v>
      </c>
      <c r="B7" s="2">
        <v>53</v>
      </c>
      <c r="C7" s="2">
        <v>30</v>
      </c>
      <c r="D7" s="2">
        <v>12</v>
      </c>
      <c r="E7" s="2">
        <v>11</v>
      </c>
      <c r="F7" s="2">
        <v>0</v>
      </c>
      <c r="G7" s="2">
        <v>0</v>
      </c>
      <c r="H7" s="29">
        <v>0.56603773584905659</v>
      </c>
      <c r="I7" s="2">
        <v>11</v>
      </c>
      <c r="J7" s="4">
        <v>1843300</v>
      </c>
    </row>
    <row r="8" spans="1:10" x14ac:dyDescent="0.25">
      <c r="A8" s="20" t="s">
        <v>449</v>
      </c>
      <c r="B8" s="2">
        <v>53</v>
      </c>
      <c r="C8" s="2">
        <v>15</v>
      </c>
      <c r="D8" s="2">
        <v>20</v>
      </c>
      <c r="E8" s="2">
        <v>10</v>
      </c>
      <c r="F8" s="2">
        <v>0</v>
      </c>
      <c r="G8" s="2">
        <v>8</v>
      </c>
      <c r="H8" s="29">
        <v>0.28301886792452829</v>
      </c>
      <c r="I8" s="2">
        <v>3</v>
      </c>
      <c r="J8" s="4">
        <v>920600</v>
      </c>
    </row>
    <row r="9" spans="1:10" x14ac:dyDescent="0.25">
      <c r="A9" s="20" t="s">
        <v>234</v>
      </c>
      <c r="B9" s="2">
        <v>53</v>
      </c>
      <c r="C9" s="2">
        <v>30</v>
      </c>
      <c r="D9" s="2">
        <v>12</v>
      </c>
      <c r="E9" s="2">
        <v>11</v>
      </c>
      <c r="F9" s="2">
        <v>0</v>
      </c>
      <c r="G9" s="2">
        <v>0</v>
      </c>
      <c r="H9" s="29">
        <v>0.56603773584905659</v>
      </c>
      <c r="I9" s="2">
        <v>9</v>
      </c>
      <c r="J9" s="4">
        <v>1627600</v>
      </c>
    </row>
    <row r="10" spans="1:10" ht="15.75" thickBot="1" x14ac:dyDescent="0.3">
      <c r="A10" s="20" t="s">
        <v>867</v>
      </c>
      <c r="B10" s="2">
        <v>53</v>
      </c>
      <c r="C10" s="2">
        <v>10</v>
      </c>
      <c r="D10" s="2">
        <v>40</v>
      </c>
      <c r="E10" s="2">
        <v>3</v>
      </c>
      <c r="F10" s="2">
        <v>0</v>
      </c>
      <c r="G10" s="2">
        <v>0</v>
      </c>
      <c r="H10" s="29">
        <v>0.18867924528301888</v>
      </c>
      <c r="I10" s="2">
        <v>0</v>
      </c>
      <c r="J10" s="4">
        <v>179200</v>
      </c>
    </row>
    <row r="11" spans="1:10" ht="15.75" thickTop="1" x14ac:dyDescent="0.25">
      <c r="A11" s="20" t="s">
        <v>1642</v>
      </c>
      <c r="B11" s="2">
        <v>370</v>
      </c>
      <c r="C11" s="2">
        <v>140</v>
      </c>
      <c r="D11" s="2">
        <v>133</v>
      </c>
      <c r="E11" s="2">
        <v>62</v>
      </c>
      <c r="F11" s="2">
        <v>12</v>
      </c>
      <c r="G11" s="2">
        <v>23</v>
      </c>
      <c r="H11" s="29">
        <v>2.6469521044992743</v>
      </c>
      <c r="I11" s="43">
        <v>32</v>
      </c>
      <c r="J11" s="47">
        <v>8711400</v>
      </c>
    </row>
    <row r="12" spans="1:10" ht="15.75" thickBot="1" x14ac:dyDescent="0.3">
      <c r="B12" s="6"/>
      <c r="C12" s="6"/>
      <c r="H12" s="41"/>
      <c r="I12" s="44" t="s">
        <v>1639</v>
      </c>
      <c r="J12" s="44" t="s">
        <v>1635</v>
      </c>
    </row>
    <row r="13" spans="1:10" ht="15.75" thickTop="1" x14ac:dyDescent="0.25"/>
    <row r="14" spans="1:10" x14ac:dyDescent="0.25">
      <c r="A14" s="2"/>
    </row>
    <row r="15" spans="1:10" x14ac:dyDescent="0.25">
      <c r="A15" s="40" t="s">
        <v>1641</v>
      </c>
      <c r="B15" s="2" t="s">
        <v>1643</v>
      </c>
      <c r="C15" s="2" t="s">
        <v>1644</v>
      </c>
      <c r="D15" s="2" t="s">
        <v>1650</v>
      </c>
      <c r="G15" s="40" t="s">
        <v>1641</v>
      </c>
      <c r="H15" t="s">
        <v>1650</v>
      </c>
    </row>
    <row r="16" spans="1:10" x14ac:dyDescent="0.25">
      <c r="A16" s="20" t="s">
        <v>1073</v>
      </c>
      <c r="B16" s="2">
        <v>53</v>
      </c>
      <c r="C16" s="2">
        <v>20</v>
      </c>
      <c r="D16" s="29">
        <v>0.37735849056603776</v>
      </c>
      <c r="G16" s="20" t="s">
        <v>867</v>
      </c>
      <c r="H16" s="28">
        <v>0.18867924528301888</v>
      </c>
    </row>
    <row r="17" spans="1:8" x14ac:dyDescent="0.25">
      <c r="A17" s="20" t="s">
        <v>659</v>
      </c>
      <c r="B17" s="2">
        <v>53</v>
      </c>
      <c r="C17" s="2">
        <v>20</v>
      </c>
      <c r="D17" s="29">
        <v>0.37735849056603776</v>
      </c>
      <c r="G17" s="20" t="s">
        <v>449</v>
      </c>
      <c r="H17" s="28">
        <v>0.28301886792452829</v>
      </c>
    </row>
    <row r="18" spans="1:8" x14ac:dyDescent="0.25">
      <c r="A18" s="20" t="s">
        <v>1275</v>
      </c>
      <c r="B18" s="2">
        <v>52</v>
      </c>
      <c r="C18" s="2">
        <v>15</v>
      </c>
      <c r="D18" s="29">
        <v>0.28846153846153844</v>
      </c>
      <c r="G18" s="20" t="s">
        <v>1275</v>
      </c>
      <c r="H18" s="28">
        <v>0.28846153846153844</v>
      </c>
    </row>
    <row r="19" spans="1:8" x14ac:dyDescent="0.25">
      <c r="A19" s="20" t="s">
        <v>9</v>
      </c>
      <c r="B19" s="2">
        <v>53</v>
      </c>
      <c r="C19" s="2">
        <v>30</v>
      </c>
      <c r="D19" s="29">
        <v>0.56603773584905659</v>
      </c>
      <c r="G19" s="20" t="s">
        <v>1073</v>
      </c>
      <c r="H19" s="28">
        <v>0.37735849056603776</v>
      </c>
    </row>
    <row r="20" spans="1:8" x14ac:dyDescent="0.25">
      <c r="A20" s="20" t="s">
        <v>449</v>
      </c>
      <c r="B20" s="2">
        <v>53</v>
      </c>
      <c r="C20" s="2">
        <v>15</v>
      </c>
      <c r="D20" s="29">
        <v>0.28301886792452829</v>
      </c>
      <c r="G20" s="20" t="s">
        <v>659</v>
      </c>
      <c r="H20" s="28">
        <v>0.37735849056603776</v>
      </c>
    </row>
    <row r="21" spans="1:8" x14ac:dyDescent="0.25">
      <c r="A21" s="20" t="s">
        <v>234</v>
      </c>
      <c r="B21" s="2">
        <v>53</v>
      </c>
      <c r="C21" s="2">
        <v>30</v>
      </c>
      <c r="D21" s="29">
        <v>0.56603773584905659</v>
      </c>
      <c r="G21" s="20" t="s">
        <v>9</v>
      </c>
      <c r="H21" s="28">
        <v>0.56603773584905659</v>
      </c>
    </row>
    <row r="22" spans="1:8" ht="15.75" thickBot="1" x14ac:dyDescent="0.3">
      <c r="A22" s="20" t="s">
        <v>867</v>
      </c>
      <c r="B22" s="2">
        <v>53</v>
      </c>
      <c r="C22" s="2">
        <v>10</v>
      </c>
      <c r="D22" s="29">
        <v>0.18867924528301888</v>
      </c>
      <c r="E22" s="45" t="s">
        <v>1637</v>
      </c>
      <c r="G22" s="20" t="s">
        <v>234</v>
      </c>
      <c r="H22" s="28">
        <v>0.56603773584905659</v>
      </c>
    </row>
    <row r="23" spans="1:8" ht="16.5" thickTop="1" thickBot="1" x14ac:dyDescent="0.3">
      <c r="A23" s="20" t="s">
        <v>1642</v>
      </c>
      <c r="B23" s="2">
        <v>370</v>
      </c>
      <c r="C23" s="2">
        <v>140</v>
      </c>
      <c r="D23" s="46">
        <v>2.6469521044992743</v>
      </c>
      <c r="E23" s="42">
        <f>GETPIVOTDATA("Sum of Completion",$A$15)/GETPIVOTDATA("Sum of Total",$A$15)</f>
        <v>0.3783783783783784</v>
      </c>
      <c r="G23" s="20" t="s">
        <v>1642</v>
      </c>
      <c r="H23" s="28">
        <v>2.6469521044992743</v>
      </c>
    </row>
    <row r="24" spans="1:8" ht="15.75" thickTop="1" x14ac:dyDescent="0.25"/>
    <row r="27" spans="1:8" x14ac:dyDescent="0.25">
      <c r="A27" s="40" t="s">
        <v>1641</v>
      </c>
      <c r="B27" s="40" t="s">
        <v>1643</v>
      </c>
      <c r="C27" s="2" t="s">
        <v>1644</v>
      </c>
      <c r="D27" t="s">
        <v>1645</v>
      </c>
    </row>
    <row r="28" spans="1:8" x14ac:dyDescent="0.25">
      <c r="A28" s="20" t="s">
        <v>1073</v>
      </c>
      <c r="B28" s="2">
        <v>53</v>
      </c>
      <c r="C28" s="2">
        <v>20</v>
      </c>
      <c r="D28" s="2">
        <v>20</v>
      </c>
    </row>
    <row r="29" spans="1:8" x14ac:dyDescent="0.25">
      <c r="A29" s="20" t="s">
        <v>659</v>
      </c>
      <c r="B29" s="2">
        <v>53</v>
      </c>
      <c r="C29" s="2">
        <v>20</v>
      </c>
      <c r="D29" s="2">
        <v>10</v>
      </c>
    </row>
    <row r="30" spans="1:8" x14ac:dyDescent="0.25">
      <c r="A30" s="20" t="s">
        <v>1275</v>
      </c>
      <c r="B30" s="2">
        <v>52</v>
      </c>
      <c r="C30" s="2">
        <v>15</v>
      </c>
      <c r="D30" s="2">
        <v>19</v>
      </c>
    </row>
    <row r="31" spans="1:8" x14ac:dyDescent="0.25">
      <c r="A31" s="20" t="s">
        <v>9</v>
      </c>
      <c r="B31" s="2">
        <v>53</v>
      </c>
      <c r="C31" s="2">
        <v>30</v>
      </c>
      <c r="D31" s="2">
        <v>12</v>
      </c>
    </row>
    <row r="32" spans="1:8" x14ac:dyDescent="0.25">
      <c r="A32" s="20" t="s">
        <v>449</v>
      </c>
      <c r="B32" s="2">
        <v>53</v>
      </c>
      <c r="C32" s="2">
        <v>15</v>
      </c>
      <c r="D32" s="2">
        <v>20</v>
      </c>
    </row>
    <row r="33" spans="1:5" x14ac:dyDescent="0.25">
      <c r="A33" s="20" t="s">
        <v>234</v>
      </c>
      <c r="B33" s="2">
        <v>53</v>
      </c>
      <c r="C33" s="2">
        <v>30</v>
      </c>
      <c r="D33" s="2">
        <v>12</v>
      </c>
    </row>
    <row r="34" spans="1:5" ht="15.75" thickBot="1" x14ac:dyDescent="0.3">
      <c r="A34" s="20" t="s">
        <v>867</v>
      </c>
      <c r="B34" s="2">
        <v>53</v>
      </c>
      <c r="C34" s="2">
        <v>10</v>
      </c>
      <c r="D34" s="2">
        <v>40</v>
      </c>
      <c r="E34" s="45" t="s">
        <v>1638</v>
      </c>
    </row>
    <row r="35" spans="1:5" ht="16.5" thickTop="1" thickBot="1" x14ac:dyDescent="0.3">
      <c r="A35" s="20" t="s">
        <v>1642</v>
      </c>
      <c r="B35" s="2">
        <v>370</v>
      </c>
      <c r="C35" s="2">
        <v>140</v>
      </c>
      <c r="D35" s="2">
        <v>133</v>
      </c>
      <c r="E35" s="42">
        <f>(GETPIVOTDATA("Sum of Completion",$A$27)+GETPIVOTDATA("Sum of Received",$A$27))/GETPIVOTDATA("Sum of Total",$A$27)</f>
        <v>0.73783783783783785</v>
      </c>
    </row>
    <row r="36" spans="1:5" ht="15.75" thickTop="1" x14ac:dyDescent="0.25">
      <c r="B36" s="6"/>
      <c r="C36" s="6"/>
      <c r="D36" s="6"/>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1295C-68FF-488E-A087-E23C0A4C1924}">
  <sheetPr>
    <tabColor theme="9" tint="-0.249977111117893"/>
  </sheetPr>
  <dimension ref="A2:AC666"/>
  <sheetViews>
    <sheetView topLeftCell="A64" zoomScale="90" zoomScaleNormal="90" workbookViewId="0">
      <selection activeCell="A75" sqref="A75"/>
    </sheetView>
  </sheetViews>
  <sheetFormatPr defaultRowHeight="15" x14ac:dyDescent="0.25"/>
  <cols>
    <col min="1" max="1" width="42" customWidth="1"/>
    <col min="2" max="10" width="20.7109375" customWidth="1"/>
    <col min="28" max="28" width="13.140625" customWidth="1"/>
  </cols>
  <sheetData>
    <row r="2" spans="1:29" x14ac:dyDescent="0.25">
      <c r="AA2" t="b" cm="1">
        <f t="array" ref="AA2:AA666">_xlfn.VSTACK('Marisol Reyes'!E6:E100,'Trevor Nguyen'!E6:E100,'Priya Kapoor'!E6:E100,'Damon Fields'!E6:E100,'Yuki Tanaka'!E6:E100,'Andre Boseman'!E6:E100,'Hannah Whitlock'!E6:E100)</f>
        <v>1</v>
      </c>
      <c r="AB2" t="str" cm="1">
        <f t="array" ref="AB2:AB666">_xlfn.VSTACK('Marisol Reyes'!K6:K100,'Trevor Nguyen'!K6:K100,'Priya Kapoor'!K6:K100,'Damon Fields'!K6:K100,'Yuki Tanaka'!K6:K100,'Andre Boseman'!K6:K100,'Hannah Whitlock'!K6:K100)</f>
        <v>Completion</v>
      </c>
      <c r="AC2" cm="1">
        <f t="array" ref="AC2:AC666">_xlfn.VSTACK('Marisol Reyes'!F6:F100,'Trevor Nguyen'!F6:F100,'Priya Kapoor'!F6:F100,'Damon Fields'!F6:F100,'Yuki Tanaka'!F6:F100,'Andre Boseman'!F6:F100,'Hannah Whitlock'!F6:F100)</f>
        <v>366100</v>
      </c>
    </row>
    <row r="3" spans="1:29" x14ac:dyDescent="0.25">
      <c r="AA3" t="b">
        <v>1</v>
      </c>
      <c r="AB3" t="str">
        <v>Completion</v>
      </c>
      <c r="AC3">
        <v>43100</v>
      </c>
    </row>
    <row r="4" spans="1:29" x14ac:dyDescent="0.25">
      <c r="AA4" t="b">
        <v>1</v>
      </c>
      <c r="AB4" t="str">
        <v>Completion</v>
      </c>
      <c r="AC4">
        <v>357500</v>
      </c>
    </row>
    <row r="5" spans="1:29" x14ac:dyDescent="0.25">
      <c r="D5" s="34"/>
      <c r="H5" s="4"/>
      <c r="AA5" t="b">
        <v>1</v>
      </c>
      <c r="AB5" t="str">
        <v>Delayed</v>
      </c>
      <c r="AC5">
        <v>70900</v>
      </c>
    </row>
    <row r="6" spans="1:29" x14ac:dyDescent="0.25">
      <c r="AA6" t="b">
        <v>0</v>
      </c>
      <c r="AB6" t="str">
        <v>Received</v>
      </c>
      <c r="AC6">
        <v>10200</v>
      </c>
    </row>
    <row r="7" spans="1:29" x14ac:dyDescent="0.25">
      <c r="AA7" t="b">
        <v>1</v>
      </c>
      <c r="AB7" t="str">
        <v>Delayed</v>
      </c>
      <c r="AC7">
        <v>179800</v>
      </c>
    </row>
    <row r="8" spans="1:29" x14ac:dyDescent="0.25">
      <c r="AA8" t="b">
        <v>0</v>
      </c>
      <c r="AB8" t="str">
        <v>Completion</v>
      </c>
      <c r="AC8">
        <v>45400</v>
      </c>
    </row>
    <row r="9" spans="1:29" x14ac:dyDescent="0.25">
      <c r="AA9" t="b">
        <v>1</v>
      </c>
      <c r="AB9" t="str">
        <v>Delayed</v>
      </c>
      <c r="AC9">
        <v>283800</v>
      </c>
    </row>
    <row r="10" spans="1:29" x14ac:dyDescent="0.25">
      <c r="AA10" t="b">
        <v>1</v>
      </c>
      <c r="AB10" t="str">
        <v>Delayed</v>
      </c>
      <c r="AC10">
        <v>124600</v>
      </c>
    </row>
    <row r="11" spans="1:29" x14ac:dyDescent="0.25">
      <c r="AA11" t="b">
        <v>1</v>
      </c>
      <c r="AB11" t="str">
        <v>Completion</v>
      </c>
      <c r="AC11">
        <v>183100</v>
      </c>
    </row>
    <row r="12" spans="1:29" x14ac:dyDescent="0.25">
      <c r="AA12" t="b">
        <v>1</v>
      </c>
      <c r="AB12" t="str">
        <v>Received</v>
      </c>
      <c r="AC12">
        <v>123700</v>
      </c>
    </row>
    <row r="13" spans="1:29" x14ac:dyDescent="0.25">
      <c r="AA13" t="b">
        <v>1</v>
      </c>
      <c r="AB13" t="str">
        <v>Received</v>
      </c>
      <c r="AC13">
        <v>237300</v>
      </c>
    </row>
    <row r="14" spans="1:29" x14ac:dyDescent="0.25">
      <c r="AA14" t="b">
        <v>1</v>
      </c>
      <c r="AB14" t="str">
        <v>Delayed</v>
      </c>
      <c r="AC14">
        <v>195500</v>
      </c>
    </row>
    <row r="15" spans="1:29" x14ac:dyDescent="0.25">
      <c r="A15" s="32" t="s">
        <v>0</v>
      </c>
      <c r="B15" s="32" t="s">
        <v>1576</v>
      </c>
      <c r="AA15" t="b">
        <v>1</v>
      </c>
      <c r="AB15" t="str">
        <v>Received</v>
      </c>
      <c r="AC15">
        <v>20900</v>
      </c>
    </row>
    <row r="16" spans="1:29" x14ac:dyDescent="0.25">
      <c r="A16" t="s">
        <v>9</v>
      </c>
      <c r="B16" s="12">
        <f t="shared" ref="B16:B22" ca="1" si="0">COUNTIF(INDIRECT("'"&amp;$A16&amp;"'!$K$6:$K$100"),"Completion")</f>
        <v>30</v>
      </c>
      <c r="AA16" t="b">
        <v>1</v>
      </c>
      <c r="AB16" t="str">
        <v>Delayed</v>
      </c>
      <c r="AC16">
        <v>84100</v>
      </c>
    </row>
    <row r="17" spans="1:29" x14ac:dyDescent="0.25">
      <c r="A17" t="s">
        <v>234</v>
      </c>
      <c r="B17" s="12">
        <f t="shared" ca="1" si="0"/>
        <v>30</v>
      </c>
      <c r="AA17" t="b">
        <v>0</v>
      </c>
      <c r="AB17" t="str">
        <v>Completion</v>
      </c>
      <c r="AC17">
        <v>1800</v>
      </c>
    </row>
    <row r="18" spans="1:29" x14ac:dyDescent="0.25">
      <c r="A18" t="s">
        <v>449</v>
      </c>
      <c r="B18" s="12">
        <f t="shared" ca="1" si="0"/>
        <v>15</v>
      </c>
      <c r="AA18" t="b">
        <v>1</v>
      </c>
      <c r="AB18" t="str">
        <v>Received</v>
      </c>
      <c r="AC18">
        <v>585700</v>
      </c>
    </row>
    <row r="19" spans="1:29" x14ac:dyDescent="0.25">
      <c r="A19" t="s">
        <v>659</v>
      </c>
      <c r="B19" s="12">
        <f t="shared" ca="1" si="0"/>
        <v>20</v>
      </c>
      <c r="AA19" t="b">
        <v>0</v>
      </c>
      <c r="AB19" t="str">
        <v>Received</v>
      </c>
      <c r="AC19">
        <v>29600</v>
      </c>
    </row>
    <row r="20" spans="1:29" x14ac:dyDescent="0.25">
      <c r="A20" t="s">
        <v>867</v>
      </c>
      <c r="B20" s="12">
        <f t="shared" ca="1" si="0"/>
        <v>10</v>
      </c>
      <c r="AA20" t="b">
        <v>1</v>
      </c>
      <c r="AB20" t="str">
        <v>Received</v>
      </c>
      <c r="AC20">
        <v>336000</v>
      </c>
    </row>
    <row r="21" spans="1:29" x14ac:dyDescent="0.25">
      <c r="A21" t="s">
        <v>1073</v>
      </c>
      <c r="B21" s="12">
        <f t="shared" ca="1" si="0"/>
        <v>20</v>
      </c>
      <c r="AA21" t="b">
        <v>1</v>
      </c>
      <c r="AB21" t="str">
        <v>Completion</v>
      </c>
      <c r="AC21">
        <v>82600</v>
      </c>
    </row>
    <row r="22" spans="1:29" x14ac:dyDescent="0.25">
      <c r="A22" t="s">
        <v>1275</v>
      </c>
      <c r="B22" s="12">
        <f t="shared" ca="1" si="0"/>
        <v>15</v>
      </c>
      <c r="AA22" t="b">
        <v>1</v>
      </c>
      <c r="AB22" t="str">
        <v>Completion</v>
      </c>
      <c r="AC22">
        <v>121300</v>
      </c>
    </row>
    <row r="23" spans="1:29" x14ac:dyDescent="0.25">
      <c r="AA23" t="b">
        <v>1</v>
      </c>
      <c r="AB23" t="str">
        <v>Completion</v>
      </c>
      <c r="AC23">
        <v>225900</v>
      </c>
    </row>
    <row r="24" spans="1:29" x14ac:dyDescent="0.25">
      <c r="AA24" t="b">
        <v>1</v>
      </c>
      <c r="AB24" t="str">
        <v>Completion</v>
      </c>
      <c r="AC24">
        <v>44200</v>
      </c>
    </row>
    <row r="25" spans="1:29" x14ac:dyDescent="0.25">
      <c r="AA25" t="b">
        <v>1</v>
      </c>
      <c r="AB25" t="str">
        <v>Received</v>
      </c>
      <c r="AC25">
        <v>148500</v>
      </c>
    </row>
    <row r="26" spans="1:29" x14ac:dyDescent="0.25">
      <c r="AA26" t="b">
        <v>1</v>
      </c>
      <c r="AB26" t="str">
        <v>Completion</v>
      </c>
      <c r="AC26">
        <v>130400</v>
      </c>
    </row>
    <row r="27" spans="1:29" x14ac:dyDescent="0.25">
      <c r="AA27" t="b">
        <v>1</v>
      </c>
      <c r="AB27" t="str">
        <v>Delayed</v>
      </c>
      <c r="AC27">
        <v>279000</v>
      </c>
    </row>
    <row r="28" spans="1:29" x14ac:dyDescent="0.25">
      <c r="AA28" t="b">
        <v>0</v>
      </c>
      <c r="AB28" t="str">
        <v>Completion</v>
      </c>
      <c r="AC28">
        <v>7400</v>
      </c>
    </row>
    <row r="29" spans="1:29" x14ac:dyDescent="0.25">
      <c r="A29" s="33" t="s">
        <v>1636</v>
      </c>
      <c r="AA29" t="b">
        <v>1</v>
      </c>
      <c r="AB29" t="str">
        <v>Completion</v>
      </c>
      <c r="AC29">
        <v>231600</v>
      </c>
    </row>
    <row r="30" spans="1:29" x14ac:dyDescent="0.25">
      <c r="A30" s="32" t="s">
        <v>0</v>
      </c>
      <c r="B30" s="32" t="s">
        <v>1630</v>
      </c>
      <c r="C30" s="32" t="s">
        <v>1576</v>
      </c>
      <c r="D30" s="32" t="s">
        <v>1488</v>
      </c>
      <c r="E30" s="32" t="s">
        <v>1577</v>
      </c>
      <c r="F30" s="32" t="s">
        <v>1631</v>
      </c>
      <c r="G30" s="32" t="s">
        <v>1632</v>
      </c>
      <c r="H30" s="32" t="s">
        <v>1633</v>
      </c>
      <c r="I30" s="32" t="s">
        <v>1634</v>
      </c>
      <c r="J30" s="32" t="s">
        <v>1635</v>
      </c>
      <c r="AA30" t="b">
        <v>1</v>
      </c>
      <c r="AB30" t="str">
        <v>Completion</v>
      </c>
      <c r="AC30">
        <v>260100</v>
      </c>
    </row>
    <row r="31" spans="1:29" x14ac:dyDescent="0.25">
      <c r="A31" t="s">
        <v>9</v>
      </c>
      <c r="B31" s="12">
        <f t="shared" ref="B31:B37" ca="1" si="1">COUNTA(INDIRECT("'"&amp;$A31&amp;"'!$B$6:$B$100"))</f>
        <v>53</v>
      </c>
      <c r="C31" s="12">
        <f t="shared" ref="C31:C37" ca="1" si="2">COUNTIF(INDIRECT("'"&amp;$A31&amp;"'!$K$6:$K$100"),"Completion")</f>
        <v>30</v>
      </c>
      <c r="D31" s="12">
        <f t="shared" ref="D31:D37" ca="1" si="3">COUNTIF(INDIRECT("'"&amp;$A31&amp;"'!$K$6:$K$100"),"Received")</f>
        <v>12</v>
      </c>
      <c r="E31" s="12">
        <f t="shared" ref="E31:E37" ca="1" si="4">COUNTIF(INDIRECT("'"&amp;$A31&amp;"'!$K$6:$K$100"),"Delayed")</f>
        <v>11</v>
      </c>
      <c r="F31" s="12">
        <f t="shared" ref="F31:F37" ca="1" si="5">COUNTIF(INDIRECT("'"&amp;$A31&amp;"'!$K$6:$K$100"),"Delayed – EOD")</f>
        <v>0</v>
      </c>
      <c r="G31" s="12">
        <f t="shared" ref="G31:G37" ca="1" si="6">COUNTIF(INDIRECT("'"&amp;$A31&amp;"'!$K$6:$K$100"),"Poor Communication")</f>
        <v>0</v>
      </c>
      <c r="H31" s="30">
        <f t="shared" ref="H31:H38" ca="1" si="7">IFERROR(C31/B31,0)</f>
        <v>0.56603773584905659</v>
      </c>
      <c r="I31" s="12">
        <f t="shared" ref="I31:I37" ca="1" si="8">COUNTIFS(INDIRECT("'"&amp;$A31&amp;"'!$E$6:$E$100"),TRUE,INDIRECT("'"&amp;$A31&amp;"'!$K$6:$K$100"),"Delayed")+COUNTIFS(INDIRECT("'"&amp;$A31&amp;"'!$E$6:$E$100"),TRUE,INDIRECT("'"&amp;$A31&amp;"'!$K$6:$K$100"),"Delayed – EOD")+COUNTIFS(INDIRECT("'"&amp;$A31&amp;"'!$E$6:$E$100"),TRUE,INDIRECT("'"&amp;$A31&amp;"'!$K$6:$K$100"),"Poor Communication")</f>
        <v>11</v>
      </c>
      <c r="J31" s="31">
        <f t="shared" ref="J31:J37" ca="1" si="9">SUMIFS(INDIRECT("'"&amp;$A31&amp;"'!$F$6:$F$100"),INDIRECT("'"&amp;$A31&amp;"'!$K$6:$K$100"),"Delayed")+SUMIFS(INDIRECT("'"&amp;$A31&amp;"'!$F$6:$F$100"),INDIRECT("'"&amp;$A31&amp;"'!$K$6:$K$100"),"Delayed – EOD")+SUMIFS(INDIRECT("'"&amp;$A31&amp;"'!$F$6:$F$100"),INDIRECT("'"&amp;$A31&amp;"'!$K$6:$K$100"),"Poor Communication")</f>
        <v>1843300</v>
      </c>
      <c r="AA31" t="b">
        <v>1</v>
      </c>
      <c r="AB31" t="str">
        <v>Completion</v>
      </c>
      <c r="AC31">
        <v>46800</v>
      </c>
    </row>
    <row r="32" spans="1:29" x14ac:dyDescent="0.25">
      <c r="A32" t="s">
        <v>234</v>
      </c>
      <c r="B32" s="12">
        <f t="shared" ca="1" si="1"/>
        <v>53</v>
      </c>
      <c r="C32" s="12">
        <f t="shared" ca="1" si="2"/>
        <v>30</v>
      </c>
      <c r="D32" s="12">
        <f t="shared" ca="1" si="3"/>
        <v>12</v>
      </c>
      <c r="E32" s="12">
        <f t="shared" ca="1" si="4"/>
        <v>11</v>
      </c>
      <c r="F32" s="12">
        <f t="shared" ca="1" si="5"/>
        <v>0</v>
      </c>
      <c r="G32" s="12">
        <f t="shared" ca="1" si="6"/>
        <v>0</v>
      </c>
      <c r="H32" s="30">
        <f t="shared" ca="1" si="7"/>
        <v>0.56603773584905659</v>
      </c>
      <c r="I32" s="12">
        <f t="shared" ca="1" si="8"/>
        <v>9</v>
      </c>
      <c r="J32" s="31">
        <f t="shared" ca="1" si="9"/>
        <v>1627600</v>
      </c>
      <c r="AA32" t="b">
        <v>1</v>
      </c>
      <c r="AB32" t="str">
        <v>Delayed</v>
      </c>
      <c r="AC32">
        <v>434200</v>
      </c>
    </row>
    <row r="33" spans="1:29" x14ac:dyDescent="0.25">
      <c r="A33" t="s">
        <v>449</v>
      </c>
      <c r="B33" s="12">
        <f t="shared" ca="1" si="1"/>
        <v>53</v>
      </c>
      <c r="C33" s="12">
        <f t="shared" ca="1" si="2"/>
        <v>15</v>
      </c>
      <c r="D33" s="12">
        <f t="shared" ca="1" si="3"/>
        <v>20</v>
      </c>
      <c r="E33" s="12">
        <f t="shared" ca="1" si="4"/>
        <v>10</v>
      </c>
      <c r="F33" s="12">
        <f t="shared" ca="1" si="5"/>
        <v>0</v>
      </c>
      <c r="G33" s="12">
        <f t="shared" ca="1" si="6"/>
        <v>8</v>
      </c>
      <c r="H33" s="30">
        <f t="shared" ca="1" si="7"/>
        <v>0.28301886792452829</v>
      </c>
      <c r="I33" s="12">
        <f t="shared" ca="1" si="8"/>
        <v>3</v>
      </c>
      <c r="J33" s="31">
        <f t="shared" ca="1" si="9"/>
        <v>920600</v>
      </c>
      <c r="AA33" t="b">
        <v>1</v>
      </c>
      <c r="AB33" t="str">
        <v>Received</v>
      </c>
      <c r="AC33">
        <v>635500</v>
      </c>
    </row>
    <row r="34" spans="1:29" x14ac:dyDescent="0.25">
      <c r="A34" t="s">
        <v>659</v>
      </c>
      <c r="B34" s="12">
        <f t="shared" ca="1" si="1"/>
        <v>53</v>
      </c>
      <c r="C34" s="12">
        <f t="shared" ca="1" si="2"/>
        <v>20</v>
      </c>
      <c r="D34" s="12">
        <f t="shared" ca="1" si="3"/>
        <v>10</v>
      </c>
      <c r="E34" s="12">
        <f t="shared" ca="1" si="4"/>
        <v>11</v>
      </c>
      <c r="F34" s="12">
        <f t="shared" ca="1" si="5"/>
        <v>12</v>
      </c>
      <c r="G34" s="12">
        <f t="shared" ca="1" si="6"/>
        <v>0</v>
      </c>
      <c r="H34" s="30">
        <f t="shared" ca="1" si="7"/>
        <v>0.37735849056603776</v>
      </c>
      <c r="I34" s="12">
        <f t="shared" ca="1" si="8"/>
        <v>4</v>
      </c>
      <c r="J34" s="31">
        <f t="shared" ca="1" si="9"/>
        <v>1656700</v>
      </c>
      <c r="AA34" t="b">
        <v>1</v>
      </c>
      <c r="AB34" t="str">
        <v>Completion</v>
      </c>
      <c r="AC34">
        <v>212600</v>
      </c>
    </row>
    <row r="35" spans="1:29" x14ac:dyDescent="0.25">
      <c r="A35" t="s">
        <v>867</v>
      </c>
      <c r="B35" s="12">
        <f t="shared" ca="1" si="1"/>
        <v>53</v>
      </c>
      <c r="C35" s="12">
        <f t="shared" ca="1" si="2"/>
        <v>10</v>
      </c>
      <c r="D35" s="12">
        <f t="shared" ca="1" si="3"/>
        <v>40</v>
      </c>
      <c r="E35" s="12">
        <f t="shared" ca="1" si="4"/>
        <v>3</v>
      </c>
      <c r="F35" s="12">
        <f t="shared" ca="1" si="5"/>
        <v>0</v>
      </c>
      <c r="G35" s="12">
        <f t="shared" ca="1" si="6"/>
        <v>0</v>
      </c>
      <c r="H35" s="30">
        <f t="shared" ca="1" si="7"/>
        <v>0.18867924528301888</v>
      </c>
      <c r="I35" s="12">
        <f t="shared" ca="1" si="8"/>
        <v>0</v>
      </c>
      <c r="J35" s="31">
        <f t="shared" ca="1" si="9"/>
        <v>179200</v>
      </c>
      <c r="AA35" t="b">
        <v>1</v>
      </c>
      <c r="AB35" t="str">
        <v>Completion</v>
      </c>
      <c r="AC35">
        <v>267600</v>
      </c>
    </row>
    <row r="36" spans="1:29" x14ac:dyDescent="0.25">
      <c r="A36" t="s">
        <v>1073</v>
      </c>
      <c r="B36" s="12">
        <f t="shared" ca="1" si="1"/>
        <v>53</v>
      </c>
      <c r="C36" s="12">
        <f t="shared" ca="1" si="2"/>
        <v>20</v>
      </c>
      <c r="D36" s="12">
        <f t="shared" ca="1" si="3"/>
        <v>20</v>
      </c>
      <c r="E36" s="12">
        <f t="shared" ca="1" si="4"/>
        <v>6</v>
      </c>
      <c r="F36" s="12">
        <f t="shared" ca="1" si="5"/>
        <v>0</v>
      </c>
      <c r="G36" s="12">
        <f t="shared" ca="1" si="6"/>
        <v>7</v>
      </c>
      <c r="H36" s="30">
        <f t="shared" ca="1" si="7"/>
        <v>0.37735849056603776</v>
      </c>
      <c r="I36" s="12">
        <f t="shared" ca="1" si="8"/>
        <v>3</v>
      </c>
      <c r="J36" s="31">
        <f t="shared" ca="1" si="9"/>
        <v>1180400</v>
      </c>
      <c r="AA36" t="b">
        <v>1</v>
      </c>
      <c r="AB36" t="str">
        <v>Completion</v>
      </c>
      <c r="AC36">
        <v>169800</v>
      </c>
    </row>
    <row r="37" spans="1:29" ht="15.75" thickBot="1" x14ac:dyDescent="0.3">
      <c r="A37" t="s">
        <v>1275</v>
      </c>
      <c r="B37" s="12">
        <f t="shared" ca="1" si="1"/>
        <v>52</v>
      </c>
      <c r="C37" s="12">
        <f t="shared" ca="1" si="2"/>
        <v>15</v>
      </c>
      <c r="D37" s="12">
        <f t="shared" ca="1" si="3"/>
        <v>19</v>
      </c>
      <c r="E37" s="12">
        <f t="shared" ca="1" si="4"/>
        <v>10</v>
      </c>
      <c r="F37" s="12">
        <f t="shared" ca="1" si="5"/>
        <v>0</v>
      </c>
      <c r="G37" s="12">
        <f t="shared" ca="1" si="6"/>
        <v>8</v>
      </c>
      <c r="H37" s="30">
        <f t="shared" ca="1" si="7"/>
        <v>0.28846153846153844</v>
      </c>
      <c r="I37" s="12">
        <f t="shared" ca="1" si="8"/>
        <v>2</v>
      </c>
      <c r="J37" s="31">
        <f t="shared" ca="1" si="9"/>
        <v>1303600</v>
      </c>
      <c r="AA37" t="b">
        <v>1</v>
      </c>
      <c r="AB37" t="str">
        <v>Completion</v>
      </c>
      <c r="AC37">
        <v>107600</v>
      </c>
    </row>
    <row r="38" spans="1:29" ht="16.5" thickTop="1" thickBot="1" x14ac:dyDescent="0.3">
      <c r="A38" s="36" t="s">
        <v>1630</v>
      </c>
      <c r="B38" s="37">
        <f t="shared" ref="B38:G38" ca="1" si="10">SUM(B31:B37)</f>
        <v>370</v>
      </c>
      <c r="C38" s="37">
        <f t="shared" ca="1" si="10"/>
        <v>140</v>
      </c>
      <c r="D38" s="37">
        <f t="shared" ca="1" si="10"/>
        <v>133</v>
      </c>
      <c r="E38" s="37">
        <f t="shared" ca="1" si="10"/>
        <v>62</v>
      </c>
      <c r="F38" s="37">
        <f t="shared" ca="1" si="10"/>
        <v>12</v>
      </c>
      <c r="G38" s="37">
        <f t="shared" ca="1" si="10"/>
        <v>23</v>
      </c>
      <c r="H38" s="38">
        <f t="shared" ca="1" si="7"/>
        <v>0.3783783783783784</v>
      </c>
      <c r="I38" s="37">
        <f ca="1">SUM(I31:I37)</f>
        <v>32</v>
      </c>
      <c r="J38" s="39">
        <f ca="1">SUM(J31:J37)</f>
        <v>8711400</v>
      </c>
      <c r="AA38" t="b">
        <v>0</v>
      </c>
      <c r="AB38" t="str">
        <v>Completion</v>
      </c>
      <c r="AC38">
        <v>8600</v>
      </c>
    </row>
    <row r="39" spans="1:29" ht="15.75" thickTop="1" x14ac:dyDescent="0.25">
      <c r="AA39" t="b">
        <v>1</v>
      </c>
      <c r="AB39" t="str">
        <v>Completion</v>
      </c>
      <c r="AC39">
        <v>132400</v>
      </c>
    </row>
    <row r="40" spans="1:29" x14ac:dyDescent="0.25">
      <c r="A40" s="48" t="s">
        <v>1651</v>
      </c>
      <c r="B40" s="49"/>
      <c r="C40" s="49"/>
      <c r="D40" s="49"/>
      <c r="E40" s="49"/>
      <c r="F40" s="49"/>
      <c r="G40" s="49"/>
      <c r="H40" s="49"/>
      <c r="I40" s="49"/>
      <c r="J40" s="49"/>
      <c r="AA40" t="b">
        <v>1</v>
      </c>
      <c r="AB40" t="str">
        <v>Completion</v>
      </c>
      <c r="AC40">
        <v>415800</v>
      </c>
    </row>
    <row r="41" spans="1:29" x14ac:dyDescent="0.25">
      <c r="A41" s="32" t="s">
        <v>0</v>
      </c>
      <c r="B41" s="32" t="s">
        <v>1630</v>
      </c>
      <c r="C41" s="32" t="s">
        <v>1576</v>
      </c>
      <c r="D41" s="32" t="s">
        <v>1488</v>
      </c>
      <c r="E41" s="32" t="s">
        <v>1577</v>
      </c>
      <c r="F41" s="32" t="s">
        <v>1631</v>
      </c>
      <c r="G41" s="32" t="s">
        <v>1632</v>
      </c>
      <c r="H41" s="32" t="s">
        <v>1633</v>
      </c>
      <c r="I41" s="32" t="s">
        <v>1634</v>
      </c>
      <c r="J41" s="32" t="s">
        <v>1635</v>
      </c>
      <c r="AA41" t="b">
        <v>1</v>
      </c>
      <c r="AB41" t="str">
        <v>Completion</v>
      </c>
      <c r="AC41">
        <v>204600</v>
      </c>
    </row>
    <row r="42" spans="1:29" x14ac:dyDescent="0.25">
      <c r="A42" t="s">
        <v>9</v>
      </c>
      <c r="B42" s="12">
        <f t="shared" ref="B42:B48" ca="1" si="11">COUNTA(INDIRECT("'"&amp;$A42&amp;"'!$B$6:$B$100"))</f>
        <v>53</v>
      </c>
      <c r="C42" s="12">
        <f t="shared" ref="C42:C48" ca="1" si="12">COUNTIF(INDIRECT("'"&amp;$A42&amp;"'!$K$6:$K$100"),"Completion")</f>
        <v>30</v>
      </c>
      <c r="D42" s="12">
        <f t="shared" ref="D42:D48" ca="1" si="13">COUNTIF(INDIRECT("'"&amp;$A42&amp;"'!$K$6:$K$100"),"Received")</f>
        <v>12</v>
      </c>
      <c r="E42" s="12">
        <f t="shared" ref="E42:E48" ca="1" si="14">COUNTIF(INDIRECT("'"&amp;$A42&amp;"'!$K$6:$K$100"),"Delayed")</f>
        <v>11</v>
      </c>
      <c r="F42" s="12">
        <f t="shared" ref="F42:F48" ca="1" si="15">COUNTIF(INDIRECT("'"&amp;$A42&amp;"'!$K$6:$K$100"),"Delayed – EOD")</f>
        <v>0</v>
      </c>
      <c r="G42" s="12">
        <f t="shared" ref="G42:G48" ca="1" si="16">COUNTIF(INDIRECT("'"&amp;$A42&amp;"'!$K$6:$K$100"),"Poor Communication")</f>
        <v>0</v>
      </c>
      <c r="H42" s="30">
        <f t="shared" ref="H42:H48" ca="1" si="17">IFERROR(C42/B42,0)</f>
        <v>0.56603773584905659</v>
      </c>
      <c r="I42" s="12">
        <f t="shared" ref="I42:I48" ca="1" si="18">COUNTIFS(INDIRECT("'"&amp;$A42&amp;"'!$E$6:$E$100"),TRUE,INDIRECT("'"&amp;$A42&amp;"'!$K$6:$K$100"),"Delayed")+COUNTIFS(INDIRECT("'"&amp;$A42&amp;"'!$E$6:$E$100"),TRUE,INDIRECT("'"&amp;$A42&amp;"'!$K$6:$K$100"),"Delayed – EOD")+COUNTIFS(INDIRECT("'"&amp;$A42&amp;"'!$E$6:$E$100"),TRUE,INDIRECT("'"&amp;$A42&amp;"'!$K$6:$K$100"),"Poor Communication")</f>
        <v>11</v>
      </c>
      <c r="J42" s="31">
        <f t="shared" ref="J42:J48" ca="1" si="19">SUMIFS(INDIRECT("'"&amp;$A42&amp;"'!$F$6:$F$100"),INDIRECT("'"&amp;$A42&amp;"'!$K$6:$K$100"),"Delayed")+SUMIFS(INDIRECT("'"&amp;$A42&amp;"'!$F$6:$F$100"),INDIRECT("'"&amp;$A42&amp;"'!$K$6:$K$100"),"Delayed – EOD")+SUMIFS(INDIRECT("'"&amp;$A42&amp;"'!$F$6:$F$100"),INDIRECT("'"&amp;$A42&amp;"'!$K$6:$K$100"),"Poor Communication")</f>
        <v>1843300</v>
      </c>
      <c r="AA42" t="b">
        <v>1</v>
      </c>
      <c r="AB42" t="str">
        <v>Completion</v>
      </c>
      <c r="AC42">
        <v>20200</v>
      </c>
    </row>
    <row r="43" spans="1:29" x14ac:dyDescent="0.25">
      <c r="A43" t="s">
        <v>234</v>
      </c>
      <c r="B43" s="12">
        <f t="shared" ca="1" si="11"/>
        <v>53</v>
      </c>
      <c r="C43" s="12">
        <f t="shared" ca="1" si="12"/>
        <v>30</v>
      </c>
      <c r="D43" s="12">
        <f t="shared" ca="1" si="13"/>
        <v>12</v>
      </c>
      <c r="E43" s="12">
        <f t="shared" ca="1" si="14"/>
        <v>11</v>
      </c>
      <c r="F43" s="12">
        <f t="shared" ca="1" si="15"/>
        <v>0</v>
      </c>
      <c r="G43" s="12">
        <f t="shared" ca="1" si="16"/>
        <v>0</v>
      </c>
      <c r="H43" s="30">
        <f t="shared" ca="1" si="17"/>
        <v>0.56603773584905659</v>
      </c>
      <c r="I43" s="12">
        <f t="shared" ca="1" si="18"/>
        <v>9</v>
      </c>
      <c r="J43" s="31">
        <f t="shared" ca="1" si="19"/>
        <v>1627600</v>
      </c>
      <c r="AA43" t="b">
        <v>1</v>
      </c>
      <c r="AB43" t="str">
        <v>Completion</v>
      </c>
      <c r="AC43">
        <v>255700</v>
      </c>
    </row>
    <row r="44" spans="1:29" x14ac:dyDescent="0.25">
      <c r="A44" t="s">
        <v>449</v>
      </c>
      <c r="B44" s="12">
        <f t="shared" ca="1" si="11"/>
        <v>53</v>
      </c>
      <c r="C44" s="12">
        <f t="shared" ca="1" si="12"/>
        <v>15</v>
      </c>
      <c r="D44" s="12">
        <f t="shared" ca="1" si="13"/>
        <v>20</v>
      </c>
      <c r="E44" s="12">
        <f t="shared" ca="1" si="14"/>
        <v>10</v>
      </c>
      <c r="F44" s="12">
        <f t="shared" ca="1" si="15"/>
        <v>0</v>
      </c>
      <c r="G44" s="12">
        <f t="shared" ca="1" si="16"/>
        <v>8</v>
      </c>
      <c r="H44" s="30">
        <f t="shared" ca="1" si="17"/>
        <v>0.28301886792452829</v>
      </c>
      <c r="I44" s="12">
        <f t="shared" ca="1" si="18"/>
        <v>3</v>
      </c>
      <c r="J44" s="31">
        <f t="shared" ca="1" si="19"/>
        <v>920600</v>
      </c>
      <c r="AA44" t="b">
        <v>1</v>
      </c>
      <c r="AB44" t="str">
        <v>Received</v>
      </c>
      <c r="AC44">
        <v>497400</v>
      </c>
    </row>
    <row r="45" spans="1:29" x14ac:dyDescent="0.25">
      <c r="A45" t="s">
        <v>659</v>
      </c>
      <c r="B45" s="12">
        <f t="shared" ca="1" si="11"/>
        <v>53</v>
      </c>
      <c r="C45" s="12">
        <f t="shared" ca="1" si="12"/>
        <v>20</v>
      </c>
      <c r="D45" s="12">
        <f t="shared" ca="1" si="13"/>
        <v>10</v>
      </c>
      <c r="E45" s="12">
        <f t="shared" ca="1" si="14"/>
        <v>11</v>
      </c>
      <c r="F45" s="12">
        <f t="shared" ca="1" si="15"/>
        <v>12</v>
      </c>
      <c r="G45" s="12">
        <f t="shared" ca="1" si="16"/>
        <v>0</v>
      </c>
      <c r="H45" s="30">
        <f t="shared" ca="1" si="17"/>
        <v>0.37735849056603776</v>
      </c>
      <c r="I45" s="12">
        <f t="shared" ca="1" si="18"/>
        <v>4</v>
      </c>
      <c r="J45" s="31">
        <f t="shared" ca="1" si="19"/>
        <v>1656700</v>
      </c>
      <c r="AA45" t="b">
        <v>1</v>
      </c>
      <c r="AB45" t="str">
        <v>Delayed</v>
      </c>
      <c r="AC45">
        <v>133100</v>
      </c>
    </row>
    <row r="46" spans="1:29" x14ac:dyDescent="0.25">
      <c r="A46" t="s">
        <v>867</v>
      </c>
      <c r="B46" s="12">
        <f t="shared" ca="1" si="11"/>
        <v>53</v>
      </c>
      <c r="C46" s="12">
        <f t="shared" ca="1" si="12"/>
        <v>10</v>
      </c>
      <c r="D46" s="12">
        <f t="shared" ca="1" si="13"/>
        <v>40</v>
      </c>
      <c r="E46" s="12">
        <f t="shared" ca="1" si="14"/>
        <v>3</v>
      </c>
      <c r="F46" s="12">
        <f t="shared" ca="1" si="15"/>
        <v>0</v>
      </c>
      <c r="G46" s="12">
        <f t="shared" ca="1" si="16"/>
        <v>0</v>
      </c>
      <c r="H46" s="30">
        <f t="shared" ca="1" si="17"/>
        <v>0.18867924528301888</v>
      </c>
      <c r="I46" s="12">
        <f t="shared" ca="1" si="18"/>
        <v>0</v>
      </c>
      <c r="J46" s="31">
        <f t="shared" ca="1" si="19"/>
        <v>179200</v>
      </c>
      <c r="AA46" t="b">
        <v>1</v>
      </c>
      <c r="AB46" t="str">
        <v>Completion</v>
      </c>
      <c r="AC46">
        <v>324800</v>
      </c>
    </row>
    <row r="47" spans="1:29" x14ac:dyDescent="0.25">
      <c r="A47" t="s">
        <v>1073</v>
      </c>
      <c r="B47" s="12">
        <f t="shared" ca="1" si="11"/>
        <v>53</v>
      </c>
      <c r="C47" s="12">
        <f t="shared" ca="1" si="12"/>
        <v>20</v>
      </c>
      <c r="D47" s="12">
        <f t="shared" ca="1" si="13"/>
        <v>20</v>
      </c>
      <c r="E47" s="12">
        <f t="shared" ca="1" si="14"/>
        <v>6</v>
      </c>
      <c r="F47" s="12">
        <f t="shared" ca="1" si="15"/>
        <v>0</v>
      </c>
      <c r="G47" s="12">
        <f t="shared" ca="1" si="16"/>
        <v>7</v>
      </c>
      <c r="H47" s="30">
        <f t="shared" ca="1" si="17"/>
        <v>0.37735849056603776</v>
      </c>
      <c r="I47" s="12">
        <f t="shared" ca="1" si="18"/>
        <v>3</v>
      </c>
      <c r="J47" s="31">
        <f t="shared" ca="1" si="19"/>
        <v>1180400</v>
      </c>
      <c r="AA47" t="b">
        <v>1</v>
      </c>
      <c r="AB47" t="str">
        <v>Completion</v>
      </c>
      <c r="AC47">
        <v>432000</v>
      </c>
    </row>
    <row r="48" spans="1:29" x14ac:dyDescent="0.25">
      <c r="A48" t="s">
        <v>1275</v>
      </c>
      <c r="B48" s="12">
        <f t="shared" ca="1" si="11"/>
        <v>52</v>
      </c>
      <c r="C48" s="12">
        <f t="shared" ca="1" si="12"/>
        <v>15</v>
      </c>
      <c r="D48" s="12">
        <f t="shared" ca="1" si="13"/>
        <v>19</v>
      </c>
      <c r="E48" s="12">
        <f t="shared" ca="1" si="14"/>
        <v>10</v>
      </c>
      <c r="F48" s="12">
        <f t="shared" ca="1" si="15"/>
        <v>0</v>
      </c>
      <c r="G48" s="12">
        <f t="shared" ca="1" si="16"/>
        <v>8</v>
      </c>
      <c r="H48" s="30">
        <f t="shared" ca="1" si="17"/>
        <v>0.28846153846153844</v>
      </c>
      <c r="I48" s="12">
        <f t="shared" ca="1" si="18"/>
        <v>2</v>
      </c>
      <c r="J48" s="31">
        <f t="shared" ca="1" si="19"/>
        <v>1303600</v>
      </c>
      <c r="AA48" t="b">
        <v>1</v>
      </c>
      <c r="AB48" t="str">
        <v>Completion</v>
      </c>
      <c r="AC48">
        <v>201200</v>
      </c>
    </row>
    <row r="49" spans="1:29" x14ac:dyDescent="0.25">
      <c r="AA49" t="b">
        <v>1</v>
      </c>
      <c r="AB49" t="str">
        <v>Delayed</v>
      </c>
      <c r="AC49">
        <v>31500</v>
      </c>
    </row>
    <row r="50" spans="1:29" x14ac:dyDescent="0.25">
      <c r="AA50" t="b">
        <v>1</v>
      </c>
      <c r="AB50" t="str">
        <v>Received</v>
      </c>
      <c r="AC50">
        <v>51600</v>
      </c>
    </row>
    <row r="51" spans="1:29" x14ac:dyDescent="0.25">
      <c r="A51" s="32" t="s">
        <v>1652</v>
      </c>
      <c r="B51" s="32" t="s">
        <v>1485</v>
      </c>
      <c r="AA51" t="b">
        <v>1</v>
      </c>
      <c r="AB51" t="str">
        <v>Delayed</v>
      </c>
      <c r="AC51">
        <v>26800</v>
      </c>
    </row>
    <row r="52" spans="1:29" x14ac:dyDescent="0.25">
      <c r="A52" t="s">
        <v>1576</v>
      </c>
      <c r="B52">
        <f ca="1">C38</f>
        <v>140</v>
      </c>
      <c r="AA52" t="b">
        <v>1</v>
      </c>
      <c r="AB52" t="str">
        <v>Received</v>
      </c>
      <c r="AC52">
        <v>150400</v>
      </c>
    </row>
    <row r="53" spans="1:29" x14ac:dyDescent="0.25">
      <c r="A53" t="s">
        <v>1488</v>
      </c>
      <c r="B53">
        <f ca="1">D38</f>
        <v>133</v>
      </c>
      <c r="AA53" t="b">
        <v>1</v>
      </c>
      <c r="AB53" t="str">
        <v>Completion</v>
      </c>
      <c r="AC53">
        <v>363100</v>
      </c>
    </row>
    <row r="54" spans="1:29" x14ac:dyDescent="0.25">
      <c r="A54" t="s">
        <v>1577</v>
      </c>
      <c r="B54">
        <f ca="1">E38</f>
        <v>62</v>
      </c>
      <c r="AA54" t="b">
        <v>1</v>
      </c>
      <c r="AB54" t="str">
        <v>Completion</v>
      </c>
      <c r="AC54">
        <v>624600</v>
      </c>
    </row>
    <row r="55" spans="1:29" x14ac:dyDescent="0.25">
      <c r="A55" t="s">
        <v>1653</v>
      </c>
      <c r="B55">
        <f ca="1">F38</f>
        <v>12</v>
      </c>
      <c r="AA55">
        <v>0</v>
      </c>
      <c r="AB55">
        <v>0</v>
      </c>
      <c r="AC55">
        <v>0</v>
      </c>
    </row>
    <row r="56" spans="1:29" x14ac:dyDescent="0.25">
      <c r="A56" t="s">
        <v>1654</v>
      </c>
      <c r="B56">
        <f ca="1">G38</f>
        <v>23</v>
      </c>
      <c r="AA56">
        <v>0</v>
      </c>
      <c r="AB56">
        <v>0</v>
      </c>
      <c r="AC56">
        <v>0</v>
      </c>
    </row>
    <row r="57" spans="1:29" x14ac:dyDescent="0.25">
      <c r="AA57">
        <v>0</v>
      </c>
      <c r="AB57">
        <v>0</v>
      </c>
      <c r="AC57">
        <v>0</v>
      </c>
    </row>
    <row r="58" spans="1:29" x14ac:dyDescent="0.25">
      <c r="AA58">
        <v>0</v>
      </c>
      <c r="AB58">
        <v>0</v>
      </c>
      <c r="AC58">
        <v>0</v>
      </c>
    </row>
    <row r="59" spans="1:29" x14ac:dyDescent="0.25">
      <c r="E59" s="2" t="s">
        <v>1657</v>
      </c>
      <c r="AA59">
        <v>0</v>
      </c>
      <c r="AB59">
        <v>0</v>
      </c>
      <c r="AC59">
        <v>0</v>
      </c>
    </row>
    <row r="60" spans="1:29" ht="18.75" x14ac:dyDescent="0.25">
      <c r="A60" s="32" t="s">
        <v>1655</v>
      </c>
      <c r="B60" s="32" t="s">
        <v>0</v>
      </c>
      <c r="C60" s="32" t="s">
        <v>1652</v>
      </c>
      <c r="D60" s="32" t="s">
        <v>1656</v>
      </c>
      <c r="F60" s="50" t="s">
        <v>1655</v>
      </c>
      <c r="G60" s="50" t="s">
        <v>0</v>
      </c>
      <c r="H60" s="51" t="s">
        <v>1652</v>
      </c>
      <c r="I60" s="51" t="s">
        <v>1656</v>
      </c>
      <c r="AA60">
        <v>0</v>
      </c>
      <c r="AB60">
        <v>0</v>
      </c>
      <c r="AC60">
        <v>0</v>
      </c>
    </row>
    <row r="61" spans="1:29" x14ac:dyDescent="0.25">
      <c r="A61" t="str" cm="1">
        <f t="array" ref="A61:D70">_xlfn.LET(_xlpm.nm, _xlfn.VSTACK('Marisol Reyes'!C6:C100,'Trevor Nguyen'!C6:C100,'Priya Kapoor'!C6:C100,'Damon Fields'!C6:C100,'Yuki Tanaka'!C6:C100,'Andre Boseman'!C6:C100,'Hannah Whitlock'!C6:C100),_xlpm.co, _xlfn.VSTACK('Marisol Reyes'!A6:A100,'Trevor Nguyen'!A6:A100,'Priya Kapoor'!A6:A100,'Damon Fields'!A6:A100,'Yuki Tanaka'!A6:A100,'Andre Boseman'!A6:A100,'Hannah Whitlock'!A6:A100), _xlpm.st, _xlfn.VSTACK('Marisol Reyes'!K6:K100,'Trevor Nguyen'!K6:K100,'Priya Kapoor'!K6:K100,'Damon Fields'!K6:K100,'Yuki Tanaka'!K6:K100,'Andre Boseman'!K6:K100,'Hannah Whitlock'!K6:K100), _xlpm.sp, _xlfn.VSTACK('Marisol Reyes'!F6:F100,'Trevor Nguyen'!F6:F100,'Priya Kapoor'!F6:F100,'Damon Fields'!F6:F100,'Yuki Tanaka'!F6:F100,'Andre Boseman'!F6:F100,'Hannah Whitlock'!F6:F100), _xlpm.cr, _xlfn.VSTACK('Marisol Reyes'!E6:E100,'Trevor Nguyen'!E6:E100,'Priya Kapoor'!E6:E100,'Damon Fields'!E6:E100,'Yuki Tanaka'!E6:E100,'Andre Boseman'!E6:E100,'Hannah Whitlock'!E6:E100), _xlpm.keep, (_xlpm.cr=TRUE)*((_xlpm.st="Delayed")+(_xlpm.st="Delayed – EOD")+(_xlpm.st="Poor Communication")),_xlpm.tbl, _xlfn._xlws.FILTER(_xlfn.HSTACK(_xlpm.nm,_xlpm.co,_xlpm.st,_xlpm.sp), _xlpm.keep),_xlfn.TAKE(_xlfn._xlws.SORT(_xlpm.tbl,4,-1),10))</f>
        <v>Monarch Mechanical Partners</v>
      </c>
      <c r="B61" t="str">
        <v>Marisol Reyes</v>
      </c>
      <c r="C61" t="str">
        <v>Delayed</v>
      </c>
      <c r="D61" s="4">
        <v>434200</v>
      </c>
      <c r="F61" s="53" t="s">
        <v>134</v>
      </c>
      <c r="G61" s="27" t="s">
        <v>9</v>
      </c>
      <c r="I61" s="52">
        <v>434200</v>
      </c>
      <c r="AA61">
        <v>0</v>
      </c>
      <c r="AB61">
        <v>0</v>
      </c>
      <c r="AC61">
        <v>0</v>
      </c>
    </row>
    <row r="62" spans="1:29" x14ac:dyDescent="0.25">
      <c r="A62" t="str">
        <v>Precision Electrical Co.</v>
      </c>
      <c r="B62" t="str">
        <v>Trevor Nguyen</v>
      </c>
      <c r="C62" t="str">
        <v>Delayed</v>
      </c>
      <c r="D62" s="4">
        <v>408600</v>
      </c>
      <c r="F62" s="53" t="s">
        <v>262</v>
      </c>
      <c r="G62" s="27" t="s">
        <v>234</v>
      </c>
      <c r="I62" s="52">
        <v>408600</v>
      </c>
      <c r="AA62">
        <v>0</v>
      </c>
      <c r="AB62">
        <v>0</v>
      </c>
      <c r="AC62">
        <v>0</v>
      </c>
    </row>
    <row r="63" spans="1:29" x14ac:dyDescent="0.25">
      <c r="A63" t="str">
        <v>Allied Guard Services Inc.</v>
      </c>
      <c r="B63" t="str">
        <v>Damon Fields</v>
      </c>
      <c r="C63" t="str">
        <v>Delayed – EOD</v>
      </c>
      <c r="D63" s="4">
        <v>313400</v>
      </c>
      <c r="F63" s="53" t="s">
        <v>680</v>
      </c>
      <c r="G63" s="27" t="s">
        <v>659</v>
      </c>
      <c r="I63" s="52">
        <v>313400</v>
      </c>
      <c r="AA63">
        <v>0</v>
      </c>
      <c r="AB63">
        <v>0</v>
      </c>
      <c r="AC63">
        <v>0</v>
      </c>
    </row>
    <row r="64" spans="1:29" x14ac:dyDescent="0.25">
      <c r="A64" t="str">
        <v>SoCal Fire Protection Services</v>
      </c>
      <c r="B64" t="str">
        <v>Andre Boseman</v>
      </c>
      <c r="C64" t="str">
        <v>Delayed</v>
      </c>
      <c r="D64" s="4">
        <v>286000</v>
      </c>
      <c r="F64" s="53" t="s">
        <v>1082</v>
      </c>
      <c r="G64" s="27" t="s">
        <v>1073</v>
      </c>
      <c r="I64" s="52">
        <v>286000</v>
      </c>
      <c r="AA64">
        <v>0</v>
      </c>
      <c r="AB64">
        <v>0</v>
      </c>
      <c r="AC64">
        <v>0</v>
      </c>
    </row>
    <row r="65" spans="1:29" x14ac:dyDescent="0.25">
      <c r="A65" t="str">
        <v>Coastal Climate Control</v>
      </c>
      <c r="B65" t="str">
        <v>Marisol Reyes</v>
      </c>
      <c r="C65" t="str">
        <v>Delayed</v>
      </c>
      <c r="D65" s="4">
        <v>283800</v>
      </c>
      <c r="F65" s="53" t="s">
        <v>122</v>
      </c>
      <c r="G65" s="27" t="s">
        <v>9</v>
      </c>
      <c r="I65" s="52">
        <v>283800</v>
      </c>
      <c r="AA65">
        <v>0</v>
      </c>
      <c r="AB65">
        <v>0</v>
      </c>
      <c r="AC65">
        <v>0</v>
      </c>
    </row>
    <row r="66" spans="1:29" x14ac:dyDescent="0.25">
      <c r="A66" t="str">
        <v>Guardian Fire Protection Solutions</v>
      </c>
      <c r="B66" t="str">
        <v>Marisol Reyes</v>
      </c>
      <c r="C66" t="str">
        <v>Delayed</v>
      </c>
      <c r="D66" s="4">
        <v>279000</v>
      </c>
      <c r="F66" s="53" t="s">
        <v>101</v>
      </c>
      <c r="G66" s="27" t="s">
        <v>9</v>
      </c>
      <c r="I66" s="52">
        <v>279000</v>
      </c>
      <c r="AA66">
        <v>0</v>
      </c>
      <c r="AB66">
        <v>0</v>
      </c>
      <c r="AC66">
        <v>0</v>
      </c>
    </row>
    <row r="67" spans="1:29" x14ac:dyDescent="0.25">
      <c r="A67" t="str">
        <v>Union Security Contractors</v>
      </c>
      <c r="B67" t="str">
        <v>Priya Kapoor</v>
      </c>
      <c r="C67" t="str">
        <v>Poor Communication</v>
      </c>
      <c r="D67" s="4">
        <v>272500</v>
      </c>
      <c r="F67" s="53" t="s">
        <v>477</v>
      </c>
      <c r="G67" s="27" t="s">
        <v>449</v>
      </c>
      <c r="I67" s="52">
        <v>272500</v>
      </c>
      <c r="AA67">
        <v>0</v>
      </c>
      <c r="AB67">
        <v>0</v>
      </c>
      <c r="AC67">
        <v>0</v>
      </c>
    </row>
    <row r="68" spans="1:29" x14ac:dyDescent="0.25">
      <c r="A68" t="str">
        <v>Sequoia Electrical Associates</v>
      </c>
      <c r="B68" t="str">
        <v>Trevor Nguyen</v>
      </c>
      <c r="C68" t="str">
        <v>Delayed</v>
      </c>
      <c r="D68" s="4">
        <v>259000</v>
      </c>
      <c r="F68" s="53" t="s">
        <v>270</v>
      </c>
      <c r="G68" s="27" t="s">
        <v>234</v>
      </c>
      <c r="I68" s="52">
        <v>259000</v>
      </c>
      <c r="AA68">
        <v>0</v>
      </c>
      <c r="AB68">
        <v>0</v>
      </c>
      <c r="AC68">
        <v>0</v>
      </c>
    </row>
    <row r="69" spans="1:29" x14ac:dyDescent="0.25">
      <c r="A69" t="str">
        <v>Golden State Technologies Services</v>
      </c>
      <c r="B69" t="str">
        <v>Andre Boseman</v>
      </c>
      <c r="C69" t="str">
        <v>Poor Communication</v>
      </c>
      <c r="D69" s="4">
        <v>248800</v>
      </c>
      <c r="F69" s="53" t="s">
        <v>1090</v>
      </c>
      <c r="G69" s="27" t="s">
        <v>1073</v>
      </c>
      <c r="I69" s="52">
        <v>248800</v>
      </c>
      <c r="AA69">
        <v>0</v>
      </c>
      <c r="AB69">
        <v>0</v>
      </c>
      <c r="AC69">
        <v>0</v>
      </c>
    </row>
    <row r="70" spans="1:29" x14ac:dyDescent="0.25">
      <c r="A70" t="str">
        <v>Sterling Electrical LLC</v>
      </c>
      <c r="B70" t="str">
        <v>Trevor Nguyen</v>
      </c>
      <c r="C70" t="str">
        <v>Delayed</v>
      </c>
      <c r="D70" s="4">
        <v>244300</v>
      </c>
      <c r="F70" s="53" t="s">
        <v>282</v>
      </c>
      <c r="G70" s="27" t="s">
        <v>234</v>
      </c>
      <c r="I70" s="52">
        <v>244300</v>
      </c>
      <c r="AA70">
        <v>0</v>
      </c>
      <c r="AB70">
        <v>0</v>
      </c>
      <c r="AC70">
        <v>0</v>
      </c>
    </row>
    <row r="71" spans="1:29" x14ac:dyDescent="0.25">
      <c r="AA71">
        <v>0</v>
      </c>
      <c r="AB71">
        <v>0</v>
      </c>
      <c r="AC71">
        <v>0</v>
      </c>
    </row>
    <row r="72" spans="1:29" x14ac:dyDescent="0.25">
      <c r="AA72">
        <v>0</v>
      </c>
      <c r="AB72">
        <v>0</v>
      </c>
      <c r="AC72">
        <v>0</v>
      </c>
    </row>
    <row r="73" spans="1:29" x14ac:dyDescent="0.25">
      <c r="AA73">
        <v>0</v>
      </c>
      <c r="AB73">
        <v>0</v>
      </c>
      <c r="AC73">
        <v>0</v>
      </c>
    </row>
    <row r="74" spans="1:29" ht="20.100000000000001" customHeight="1" x14ac:dyDescent="0.25">
      <c r="A74" s="27" t="s">
        <v>1667</v>
      </c>
      <c r="AA74">
        <v>0</v>
      </c>
      <c r="AB74">
        <v>0</v>
      </c>
      <c r="AC74">
        <v>0</v>
      </c>
    </row>
    <row r="75" spans="1:29" ht="20.100000000000001" customHeight="1" x14ac:dyDescent="0.25">
      <c r="A75" s="57" t="s">
        <v>1275</v>
      </c>
      <c r="AA75">
        <v>0</v>
      </c>
      <c r="AB75">
        <v>0</v>
      </c>
      <c r="AC75">
        <v>0</v>
      </c>
    </row>
    <row r="76" spans="1:29" ht="20.100000000000001" customHeight="1" x14ac:dyDescent="0.25">
      <c r="AA76">
        <v>0</v>
      </c>
      <c r="AB76">
        <v>0</v>
      </c>
      <c r="AC76">
        <v>0</v>
      </c>
    </row>
    <row r="77" spans="1:29" ht="20.100000000000001" customHeight="1" x14ac:dyDescent="0.25">
      <c r="A77" t="s">
        <v>1655</v>
      </c>
      <c r="B77" t="s">
        <v>1658</v>
      </c>
      <c r="AA77">
        <v>0</v>
      </c>
      <c r="AB77">
        <v>0</v>
      </c>
      <c r="AC77">
        <v>0</v>
      </c>
    </row>
    <row r="78" spans="1:29" ht="20.100000000000001" customHeight="1" x14ac:dyDescent="0.25">
      <c r="A78" t="str" cm="1">
        <f t="array" aca="1" ref="A78:B85" ca="1">_xlfn.LET(_xlpm.s, $A$75, _xlpm.nm, INDIRECT("'"&amp;_xlpm.s&amp;"'!C6:C100"),_xlpm.st, INDIRECT("'"&amp;_xlpm.s&amp;"'!K6:K100"), _xlpm.nt, INDIRECT("'"&amp;_xlpm.s&amp;"'!J6:J100"),_xlfn._xlws.FILTER(_xlfn.HSTACK(_xlpm.nm,_xlpm.nt), _xlpm.st="Poor Communication", "No poor-comms flags"))</f>
        <v>Sierra Piping Systems</v>
      </c>
      <c r="B78" t="str">
        <f ca="1"/>
        <v>Contact unresponsive to the last several messages, and the voicemail box is full. Requesting an alternate point of contact from the vendor. Noted for escalation.</v>
      </c>
      <c r="AA78">
        <v>0</v>
      </c>
      <c r="AB78">
        <v>0</v>
      </c>
      <c r="AC78">
        <v>0</v>
      </c>
    </row>
    <row r="79" spans="1:29" ht="20.100000000000001" customHeight="1" x14ac:dyDescent="0.25">
      <c r="A79" t="str">
        <f ca="1"/>
        <v>ProCare Media Systems Enterprises</v>
      </c>
      <c r="B79" t="str">
        <f ca="1"/>
        <v>Communication has stalled — three follow-ups sent with no reply. Nothing submitted to date. Flagging this vendor as at-risk for onboarding.</v>
      </c>
      <c r="AA79">
        <v>0</v>
      </c>
      <c r="AB79">
        <v>0</v>
      </c>
      <c r="AC79">
        <v>0</v>
      </c>
    </row>
    <row r="80" spans="1:29" ht="20.100000000000001" customHeight="1" x14ac:dyDescent="0.25">
      <c r="A80" t="str">
        <f ca="1"/>
        <v>Pacific Janitorial Solutions</v>
      </c>
      <c r="B80" t="str">
        <f ca="1"/>
        <v>Communication has stalled — two follow-ups sent with no reply. Nothing submitted to date. Flagging this vendor as at-risk for onboarding.</v>
      </c>
      <c r="AA80">
        <v>0</v>
      </c>
      <c r="AB80">
        <v>0</v>
      </c>
      <c r="AC80">
        <v>0</v>
      </c>
    </row>
    <row r="81" spans="1:29" ht="20.100000000000001" customHeight="1" x14ac:dyDescent="0.25">
      <c r="A81" t="str">
        <f ca="1"/>
        <v>Angel City Facility Services Systems</v>
      </c>
      <c r="B81" t="str">
        <f ca="1"/>
        <v>Contact has gone quiet after an initial acknowledgment; recent emails are unanswered. No documents received yet. Attempting a call and considering escalation.</v>
      </c>
      <c r="AA81">
        <v>0</v>
      </c>
      <c r="AB81">
        <v>0</v>
      </c>
      <c r="AC81">
        <v>0</v>
      </c>
    </row>
    <row r="82" spans="1:29" ht="20.100000000000001" customHeight="1" x14ac:dyDescent="0.25">
      <c r="A82" t="str">
        <f ca="1"/>
        <v>Redline Mobility Associates</v>
      </c>
      <c r="B82" t="str">
        <f ca="1"/>
        <v>Replies are sporadic and often incomplete, slowing everything down. Still awaiting all required documents. Setting a firm deadline in the next message.</v>
      </c>
      <c r="AA82">
        <v>0</v>
      </c>
      <c r="AB82">
        <v>0</v>
      </c>
      <c r="AC82">
        <v>0</v>
      </c>
    </row>
    <row r="83" spans="1:29" ht="20.100000000000001" customHeight="1" x14ac:dyDescent="0.25">
      <c r="A83" t="str">
        <f ca="1"/>
        <v>Vertex Uniform LLC</v>
      </c>
      <c r="B83" t="str">
        <f ca="1"/>
        <v>Third outreach attempt with no response from the contact. Voicemail left and a follow-up email sent requesting the outstanding documents. Escalating to a backup contact if no reply by Friday.</v>
      </c>
      <c r="AA83">
        <v>0</v>
      </c>
      <c r="AB83">
        <v>0</v>
      </c>
      <c r="AC83">
        <v>0</v>
      </c>
    </row>
    <row r="84" spans="1:29" ht="20.100000000000001" customHeight="1" x14ac:dyDescent="0.25">
      <c r="A84" t="str">
        <f ca="1"/>
        <v>Coastal Water Systems Inc.</v>
      </c>
      <c r="B84" t="str">
        <f ca="1"/>
        <v>Contact acknowledged the request but has since stopped responding. No documents in. Trying a different channel and noting for supervisor follow-up.</v>
      </c>
      <c r="AA84">
        <v>0</v>
      </c>
      <c r="AB84">
        <v>0</v>
      </c>
      <c r="AC84">
        <v>0</v>
      </c>
    </row>
    <row r="85" spans="1:29" ht="20.100000000000001" customHeight="1" x14ac:dyDescent="0.25">
      <c r="A85" t="str">
        <f ca="1"/>
        <v>Premier Water Systems Company</v>
      </c>
      <c r="B85" t="str">
        <f ca="1"/>
        <v>Repeated attempts to reach the contact have gone unanswered. No paperwork received so far. Escalating to their main office line.</v>
      </c>
      <c r="AA85">
        <v>0</v>
      </c>
      <c r="AB85">
        <v>0</v>
      </c>
      <c r="AC85">
        <v>0</v>
      </c>
    </row>
    <row r="86" spans="1:29" x14ac:dyDescent="0.25">
      <c r="AA86">
        <v>0</v>
      </c>
      <c r="AB86">
        <v>0</v>
      </c>
      <c r="AC86">
        <v>0</v>
      </c>
    </row>
    <row r="87" spans="1:29" x14ac:dyDescent="0.25">
      <c r="AA87">
        <v>0</v>
      </c>
      <c r="AB87">
        <v>0</v>
      </c>
      <c r="AC87">
        <v>0</v>
      </c>
    </row>
    <row r="88" spans="1:29" x14ac:dyDescent="0.25">
      <c r="A88" t="s">
        <v>1663</v>
      </c>
      <c r="AA88">
        <v>0</v>
      </c>
      <c r="AB88">
        <v>0</v>
      </c>
      <c r="AC88">
        <v>0</v>
      </c>
    </row>
    <row r="89" spans="1:29" x14ac:dyDescent="0.25">
      <c r="A89" t="s">
        <v>1664</v>
      </c>
      <c r="AA89">
        <v>0</v>
      </c>
      <c r="AB89">
        <v>0</v>
      </c>
      <c r="AC89">
        <v>0</v>
      </c>
    </row>
    <row r="90" spans="1:29" x14ac:dyDescent="0.25">
      <c r="B90" s="32" t="s">
        <v>1661</v>
      </c>
      <c r="C90" s="32" t="s">
        <v>1488</v>
      </c>
      <c r="D90" s="32" t="s">
        <v>1577</v>
      </c>
      <c r="E90" s="32" t="s">
        <v>1631</v>
      </c>
      <c r="F90" s="32" t="s">
        <v>1662</v>
      </c>
      <c r="AA90">
        <v>0</v>
      </c>
      <c r="AB90">
        <v>0</v>
      </c>
      <c r="AC90">
        <v>0</v>
      </c>
    </row>
    <row r="91" spans="1:29" x14ac:dyDescent="0.25">
      <c r="A91" t="s">
        <v>4</v>
      </c>
      <c r="B91">
        <f>COUNTIFS(_xlfn.ANCHORARRAY($AA$2),TRUE,_xlfn.ANCHORARRAY($AB$2),"Completion")</f>
        <v>64</v>
      </c>
      <c r="C91">
        <f>COUNTIFS(_xlfn.ANCHORARRAY($AA$2),TRUE,_xlfn.ANCHORARRAY($AB$2),"Received")</f>
        <v>33</v>
      </c>
      <c r="D91">
        <f>COUNTIFS(_xlfn.ANCHORARRAY($AA$2),TRUE,_xlfn.ANCHORARRAY($AB$2),"Delayed")</f>
        <v>26</v>
      </c>
      <c r="E91">
        <f>COUNTIFS(_xlfn.ANCHORARRAY($AA$2),TRUE,_xlfn.ANCHORARRAY($AB$2),"Delayed – EOD")</f>
        <v>2</v>
      </c>
      <c r="F91">
        <f>COUNTIFS(_xlfn.ANCHORARRAY($AA$2),TRUE,_xlfn.ANCHORARRAY($AB$2),"Poor Communication")</f>
        <v>4</v>
      </c>
      <c r="AA91">
        <v>0</v>
      </c>
      <c r="AB91">
        <v>0</v>
      </c>
      <c r="AC91">
        <v>0</v>
      </c>
    </row>
    <row r="92" spans="1:29" x14ac:dyDescent="0.25">
      <c r="AA92">
        <v>0</v>
      </c>
      <c r="AB92">
        <v>0</v>
      </c>
      <c r="AC92">
        <v>0</v>
      </c>
    </row>
    <row r="93" spans="1:29" x14ac:dyDescent="0.25">
      <c r="AA93">
        <v>0</v>
      </c>
      <c r="AB93">
        <v>0</v>
      </c>
      <c r="AC93">
        <v>0</v>
      </c>
    </row>
    <row r="94" spans="1:29" x14ac:dyDescent="0.25">
      <c r="AA94">
        <v>0</v>
      </c>
      <c r="AB94">
        <v>0</v>
      </c>
      <c r="AC94">
        <v>0</v>
      </c>
    </row>
    <row r="95" spans="1:29" x14ac:dyDescent="0.25">
      <c r="AA95">
        <v>0</v>
      </c>
      <c r="AB95">
        <v>0</v>
      </c>
      <c r="AC95">
        <v>0</v>
      </c>
    </row>
    <row r="96" spans="1:29" x14ac:dyDescent="0.25">
      <c r="AA96">
        <v>0</v>
      </c>
      <c r="AB96">
        <v>0</v>
      </c>
      <c r="AC96">
        <v>0</v>
      </c>
    </row>
    <row r="97" spans="27:29" x14ac:dyDescent="0.25">
      <c r="AA97" t="b">
        <v>1</v>
      </c>
      <c r="AB97" t="str">
        <v>Completion</v>
      </c>
      <c r="AC97">
        <v>176800</v>
      </c>
    </row>
    <row r="98" spans="27:29" x14ac:dyDescent="0.25">
      <c r="AA98" t="b">
        <v>1</v>
      </c>
      <c r="AB98" t="str">
        <v>Completion</v>
      </c>
      <c r="AC98">
        <v>279300</v>
      </c>
    </row>
    <row r="99" spans="27:29" x14ac:dyDescent="0.25">
      <c r="AA99" t="b">
        <v>1</v>
      </c>
      <c r="AB99" t="str">
        <v>Completion</v>
      </c>
      <c r="AC99">
        <v>244500</v>
      </c>
    </row>
    <row r="100" spans="27:29" x14ac:dyDescent="0.25">
      <c r="AA100" t="b">
        <v>1</v>
      </c>
      <c r="AB100" t="str">
        <v>Delayed</v>
      </c>
      <c r="AC100">
        <v>32700</v>
      </c>
    </row>
    <row r="101" spans="27:29" x14ac:dyDescent="0.25">
      <c r="AA101" t="b">
        <v>0</v>
      </c>
      <c r="AB101" t="str">
        <v>Completion</v>
      </c>
      <c r="AC101">
        <v>109800</v>
      </c>
    </row>
    <row r="102" spans="27:29" x14ac:dyDescent="0.25">
      <c r="AA102" t="b">
        <v>1</v>
      </c>
      <c r="AB102" t="str">
        <v>Delayed</v>
      </c>
      <c r="AC102">
        <v>48100</v>
      </c>
    </row>
    <row r="103" spans="27:29" x14ac:dyDescent="0.25">
      <c r="AA103" t="b">
        <v>1</v>
      </c>
      <c r="AB103" t="str">
        <v>Completion</v>
      </c>
      <c r="AC103">
        <v>149800</v>
      </c>
    </row>
    <row r="104" spans="27:29" x14ac:dyDescent="0.25">
      <c r="AA104" t="b">
        <v>0</v>
      </c>
      <c r="AB104" t="str">
        <v>Completion</v>
      </c>
      <c r="AC104">
        <v>22700</v>
      </c>
    </row>
    <row r="105" spans="27:29" x14ac:dyDescent="0.25">
      <c r="AA105" t="b">
        <v>1</v>
      </c>
      <c r="AB105" t="str">
        <v>Completion</v>
      </c>
      <c r="AC105">
        <v>138400</v>
      </c>
    </row>
    <row r="106" spans="27:29" x14ac:dyDescent="0.25">
      <c r="AA106" t="b">
        <v>1</v>
      </c>
      <c r="AB106" t="str">
        <v>Completion</v>
      </c>
      <c r="AC106">
        <v>63000</v>
      </c>
    </row>
    <row r="107" spans="27:29" x14ac:dyDescent="0.25">
      <c r="AA107" t="b">
        <v>1</v>
      </c>
      <c r="AB107" t="str">
        <v>Completion</v>
      </c>
      <c r="AC107">
        <v>25600</v>
      </c>
    </row>
    <row r="108" spans="27:29" x14ac:dyDescent="0.25">
      <c r="AA108" t="b">
        <v>1</v>
      </c>
      <c r="AB108" t="str">
        <v>Completion</v>
      </c>
      <c r="AC108">
        <v>46000</v>
      </c>
    </row>
    <row r="109" spans="27:29" x14ac:dyDescent="0.25">
      <c r="AA109" t="b">
        <v>1</v>
      </c>
      <c r="AB109" t="str">
        <v>Delayed</v>
      </c>
      <c r="AC109">
        <v>22400</v>
      </c>
    </row>
    <row r="110" spans="27:29" x14ac:dyDescent="0.25">
      <c r="AA110" t="b">
        <v>1</v>
      </c>
      <c r="AB110" t="str">
        <v>Completion</v>
      </c>
      <c r="AC110">
        <v>169700</v>
      </c>
    </row>
    <row r="111" spans="27:29" x14ac:dyDescent="0.25">
      <c r="AA111" t="b">
        <v>1</v>
      </c>
      <c r="AB111" t="str">
        <v>Completion</v>
      </c>
      <c r="AC111">
        <v>126900</v>
      </c>
    </row>
    <row r="112" spans="27:29" x14ac:dyDescent="0.25">
      <c r="AA112" t="b">
        <v>0</v>
      </c>
      <c r="AB112" t="str">
        <v>Delayed</v>
      </c>
      <c r="AC112">
        <v>13900</v>
      </c>
    </row>
    <row r="113" spans="27:29" x14ac:dyDescent="0.25">
      <c r="AA113" t="b">
        <v>0</v>
      </c>
      <c r="AB113" t="str">
        <v>Received</v>
      </c>
      <c r="AC113">
        <v>5700</v>
      </c>
    </row>
    <row r="114" spans="27:29" x14ac:dyDescent="0.25">
      <c r="AA114" t="b">
        <v>1</v>
      </c>
      <c r="AB114" t="str">
        <v>Completion</v>
      </c>
      <c r="AC114">
        <v>169500</v>
      </c>
    </row>
    <row r="115" spans="27:29" x14ac:dyDescent="0.25">
      <c r="AA115" t="b">
        <v>1</v>
      </c>
      <c r="AB115" t="str">
        <v>Received</v>
      </c>
      <c r="AC115">
        <v>541100</v>
      </c>
    </row>
    <row r="116" spans="27:29" x14ac:dyDescent="0.25">
      <c r="AA116" t="b">
        <v>1</v>
      </c>
      <c r="AB116" t="str">
        <v>Completion</v>
      </c>
      <c r="AC116">
        <v>9600</v>
      </c>
    </row>
    <row r="117" spans="27:29" x14ac:dyDescent="0.25">
      <c r="AA117" t="b">
        <v>1</v>
      </c>
      <c r="AB117" t="str">
        <v>Received</v>
      </c>
      <c r="AC117">
        <v>500000</v>
      </c>
    </row>
    <row r="118" spans="27:29" x14ac:dyDescent="0.25">
      <c r="AA118" t="b">
        <v>1</v>
      </c>
      <c r="AB118" t="str">
        <v>Received</v>
      </c>
      <c r="AC118">
        <v>72200</v>
      </c>
    </row>
    <row r="119" spans="27:29" x14ac:dyDescent="0.25">
      <c r="AA119" t="b">
        <v>1</v>
      </c>
      <c r="AB119" t="str">
        <v>Received</v>
      </c>
      <c r="AC119">
        <v>337400</v>
      </c>
    </row>
    <row r="120" spans="27:29" x14ac:dyDescent="0.25">
      <c r="AA120" t="b">
        <v>1</v>
      </c>
      <c r="AB120" t="str">
        <v>Delayed</v>
      </c>
      <c r="AC120">
        <v>153300</v>
      </c>
    </row>
    <row r="121" spans="27:29" x14ac:dyDescent="0.25">
      <c r="AA121" t="b">
        <v>1</v>
      </c>
      <c r="AB121" t="str">
        <v>Completion</v>
      </c>
      <c r="AC121">
        <v>41900</v>
      </c>
    </row>
    <row r="122" spans="27:29" x14ac:dyDescent="0.25">
      <c r="AA122" t="b">
        <v>1</v>
      </c>
      <c r="AB122" t="str">
        <v>Completion</v>
      </c>
      <c r="AC122">
        <v>329800</v>
      </c>
    </row>
    <row r="123" spans="27:29" x14ac:dyDescent="0.25">
      <c r="AA123" t="b">
        <v>1</v>
      </c>
      <c r="AB123" t="str">
        <v>Delayed</v>
      </c>
      <c r="AC123">
        <v>143300</v>
      </c>
    </row>
    <row r="124" spans="27:29" x14ac:dyDescent="0.25">
      <c r="AA124" t="b">
        <v>1</v>
      </c>
      <c r="AB124" t="str">
        <v>Completion</v>
      </c>
      <c r="AC124">
        <v>350900</v>
      </c>
    </row>
    <row r="125" spans="27:29" x14ac:dyDescent="0.25">
      <c r="AA125" t="b">
        <v>1</v>
      </c>
      <c r="AB125" t="str">
        <v>Completion</v>
      </c>
      <c r="AC125">
        <v>297800</v>
      </c>
    </row>
    <row r="126" spans="27:29" x14ac:dyDescent="0.25">
      <c r="AA126" t="b">
        <v>1</v>
      </c>
      <c r="AB126" t="str">
        <v>Received</v>
      </c>
      <c r="AC126">
        <v>120300</v>
      </c>
    </row>
    <row r="127" spans="27:29" x14ac:dyDescent="0.25">
      <c r="AA127" t="b">
        <v>0</v>
      </c>
      <c r="AB127" t="str">
        <v>Received</v>
      </c>
      <c r="AC127">
        <v>34400</v>
      </c>
    </row>
    <row r="128" spans="27:29" x14ac:dyDescent="0.25">
      <c r="AA128" t="b">
        <v>1</v>
      </c>
      <c r="AB128" t="str">
        <v>Completion</v>
      </c>
      <c r="AC128">
        <v>555800</v>
      </c>
    </row>
    <row r="129" spans="27:29" x14ac:dyDescent="0.25">
      <c r="AA129" t="b">
        <v>1</v>
      </c>
      <c r="AB129" t="str">
        <v>Received</v>
      </c>
      <c r="AC129">
        <v>298100</v>
      </c>
    </row>
    <row r="130" spans="27:29" x14ac:dyDescent="0.25">
      <c r="AA130" t="b">
        <v>1</v>
      </c>
      <c r="AB130" t="str">
        <v>Completion</v>
      </c>
      <c r="AC130">
        <v>41900</v>
      </c>
    </row>
    <row r="131" spans="27:29" x14ac:dyDescent="0.25">
      <c r="AA131" t="b">
        <v>1</v>
      </c>
      <c r="AB131" t="str">
        <v>Completion</v>
      </c>
      <c r="AC131">
        <v>34900</v>
      </c>
    </row>
    <row r="132" spans="27:29" x14ac:dyDescent="0.25">
      <c r="AA132" t="b">
        <v>1</v>
      </c>
      <c r="AB132" t="str">
        <v>Completion</v>
      </c>
      <c r="AC132">
        <v>446700</v>
      </c>
    </row>
    <row r="133" spans="27:29" x14ac:dyDescent="0.25">
      <c r="AA133" t="b">
        <v>1</v>
      </c>
      <c r="AB133" t="str">
        <v>Delayed</v>
      </c>
      <c r="AC133">
        <v>408600</v>
      </c>
    </row>
    <row r="134" spans="27:29" x14ac:dyDescent="0.25">
      <c r="AA134" t="b">
        <v>1</v>
      </c>
      <c r="AB134" t="str">
        <v>Completion</v>
      </c>
      <c r="AC134">
        <v>331900</v>
      </c>
    </row>
    <row r="135" spans="27:29" x14ac:dyDescent="0.25">
      <c r="AA135" t="b">
        <v>1</v>
      </c>
      <c r="AB135" t="str">
        <v>Completion</v>
      </c>
      <c r="AC135">
        <v>50500</v>
      </c>
    </row>
    <row r="136" spans="27:29" x14ac:dyDescent="0.25">
      <c r="AA136" t="b">
        <v>0</v>
      </c>
      <c r="AB136" t="str">
        <v>Received</v>
      </c>
      <c r="AC136">
        <v>15200</v>
      </c>
    </row>
    <row r="137" spans="27:29" x14ac:dyDescent="0.25">
      <c r="AA137" t="b">
        <v>1</v>
      </c>
      <c r="AB137" t="str">
        <v>Delayed</v>
      </c>
      <c r="AC137">
        <v>259000</v>
      </c>
    </row>
    <row r="138" spans="27:29" x14ac:dyDescent="0.25">
      <c r="AA138" t="b">
        <v>1</v>
      </c>
      <c r="AB138" t="str">
        <v>Completion</v>
      </c>
      <c r="AC138">
        <v>33400</v>
      </c>
    </row>
    <row r="139" spans="27:29" x14ac:dyDescent="0.25">
      <c r="AA139" t="b">
        <v>1</v>
      </c>
      <c r="AB139" t="str">
        <v>Delayed</v>
      </c>
      <c r="AC139">
        <v>240800</v>
      </c>
    </row>
    <row r="140" spans="27:29" x14ac:dyDescent="0.25">
      <c r="AA140" t="b">
        <v>1</v>
      </c>
      <c r="AB140" t="str">
        <v>Completion</v>
      </c>
      <c r="AC140">
        <v>214900</v>
      </c>
    </row>
    <row r="141" spans="27:29" x14ac:dyDescent="0.25">
      <c r="AA141" t="b">
        <v>1</v>
      </c>
      <c r="AB141" t="str">
        <v>Completion</v>
      </c>
      <c r="AC141">
        <v>195300</v>
      </c>
    </row>
    <row r="142" spans="27:29" x14ac:dyDescent="0.25">
      <c r="AA142" t="b">
        <v>1</v>
      </c>
      <c r="AB142" t="str">
        <v>Received</v>
      </c>
      <c r="AC142">
        <v>155300</v>
      </c>
    </row>
    <row r="143" spans="27:29" x14ac:dyDescent="0.25">
      <c r="AA143" t="b">
        <v>1</v>
      </c>
      <c r="AB143" t="str">
        <v>Delayed</v>
      </c>
      <c r="AC143">
        <v>244300</v>
      </c>
    </row>
    <row r="144" spans="27:29" x14ac:dyDescent="0.25">
      <c r="AA144" t="b">
        <v>1</v>
      </c>
      <c r="AB144" t="str">
        <v>Completion</v>
      </c>
      <c r="AC144">
        <v>178000</v>
      </c>
    </row>
    <row r="145" spans="27:29" x14ac:dyDescent="0.25">
      <c r="AA145" t="b">
        <v>1</v>
      </c>
      <c r="AB145" t="str">
        <v>Completion</v>
      </c>
      <c r="AC145">
        <v>331300</v>
      </c>
    </row>
    <row r="146" spans="27:29" x14ac:dyDescent="0.25">
      <c r="AA146" t="b">
        <v>1</v>
      </c>
      <c r="AB146" t="str">
        <v>Received</v>
      </c>
      <c r="AC146">
        <v>132900</v>
      </c>
    </row>
    <row r="147" spans="27:29" x14ac:dyDescent="0.25">
      <c r="AA147" t="b">
        <v>1</v>
      </c>
      <c r="AB147" t="str">
        <v>Completion</v>
      </c>
      <c r="AC147">
        <v>74500</v>
      </c>
    </row>
    <row r="148" spans="27:29" x14ac:dyDescent="0.25">
      <c r="AA148" t="b">
        <v>0</v>
      </c>
      <c r="AB148" t="str">
        <v>Delayed</v>
      </c>
      <c r="AC148">
        <v>61200</v>
      </c>
    </row>
    <row r="149" spans="27:29" x14ac:dyDescent="0.25">
      <c r="AA149" t="b">
        <v>1</v>
      </c>
      <c r="AB149" t="str">
        <v>Received</v>
      </c>
      <c r="AC149">
        <v>82500</v>
      </c>
    </row>
    <row r="150" spans="27:29" x14ac:dyDescent="0.25">
      <c r="AA150">
        <v>0</v>
      </c>
      <c r="AB150">
        <v>0</v>
      </c>
      <c r="AC150">
        <v>0</v>
      </c>
    </row>
    <row r="151" spans="27:29" x14ac:dyDescent="0.25">
      <c r="AA151">
        <v>0</v>
      </c>
      <c r="AB151">
        <v>0</v>
      </c>
      <c r="AC151">
        <v>0</v>
      </c>
    </row>
    <row r="152" spans="27:29" x14ac:dyDescent="0.25">
      <c r="AA152">
        <v>0</v>
      </c>
      <c r="AB152">
        <v>0</v>
      </c>
      <c r="AC152">
        <v>0</v>
      </c>
    </row>
    <row r="153" spans="27:29" x14ac:dyDescent="0.25">
      <c r="AA153">
        <v>0</v>
      </c>
      <c r="AB153">
        <v>0</v>
      </c>
      <c r="AC153">
        <v>0</v>
      </c>
    </row>
    <row r="154" spans="27:29" x14ac:dyDescent="0.25">
      <c r="AA154">
        <v>0</v>
      </c>
      <c r="AB154">
        <v>0</v>
      </c>
      <c r="AC154">
        <v>0</v>
      </c>
    </row>
    <row r="155" spans="27:29" x14ac:dyDescent="0.25">
      <c r="AA155">
        <v>0</v>
      </c>
      <c r="AB155">
        <v>0</v>
      </c>
      <c r="AC155">
        <v>0</v>
      </c>
    </row>
    <row r="156" spans="27:29" x14ac:dyDescent="0.25">
      <c r="AA156">
        <v>0</v>
      </c>
      <c r="AB156">
        <v>0</v>
      </c>
      <c r="AC156">
        <v>0</v>
      </c>
    </row>
    <row r="157" spans="27:29" x14ac:dyDescent="0.25">
      <c r="AA157">
        <v>0</v>
      </c>
      <c r="AB157">
        <v>0</v>
      </c>
      <c r="AC157">
        <v>0</v>
      </c>
    </row>
    <row r="158" spans="27:29" x14ac:dyDescent="0.25">
      <c r="AA158">
        <v>0</v>
      </c>
      <c r="AB158">
        <v>0</v>
      </c>
      <c r="AC158">
        <v>0</v>
      </c>
    </row>
    <row r="159" spans="27:29" x14ac:dyDescent="0.25">
      <c r="AA159">
        <v>0</v>
      </c>
      <c r="AB159">
        <v>0</v>
      </c>
      <c r="AC159">
        <v>0</v>
      </c>
    </row>
    <row r="160" spans="27:29" x14ac:dyDescent="0.25">
      <c r="AA160">
        <v>0</v>
      </c>
      <c r="AB160">
        <v>0</v>
      </c>
      <c r="AC160">
        <v>0</v>
      </c>
    </row>
    <row r="161" spans="27:29" x14ac:dyDescent="0.25">
      <c r="AA161">
        <v>0</v>
      </c>
      <c r="AB161">
        <v>0</v>
      </c>
      <c r="AC161">
        <v>0</v>
      </c>
    </row>
    <row r="162" spans="27:29" x14ac:dyDescent="0.25">
      <c r="AA162">
        <v>0</v>
      </c>
      <c r="AB162">
        <v>0</v>
      </c>
      <c r="AC162">
        <v>0</v>
      </c>
    </row>
    <row r="163" spans="27:29" x14ac:dyDescent="0.25">
      <c r="AA163">
        <v>0</v>
      </c>
      <c r="AB163">
        <v>0</v>
      </c>
      <c r="AC163">
        <v>0</v>
      </c>
    </row>
    <row r="164" spans="27:29" x14ac:dyDescent="0.25">
      <c r="AA164">
        <v>0</v>
      </c>
      <c r="AB164">
        <v>0</v>
      </c>
      <c r="AC164">
        <v>0</v>
      </c>
    </row>
    <row r="165" spans="27:29" x14ac:dyDescent="0.25">
      <c r="AA165">
        <v>0</v>
      </c>
      <c r="AB165">
        <v>0</v>
      </c>
      <c r="AC165">
        <v>0</v>
      </c>
    </row>
    <row r="166" spans="27:29" x14ac:dyDescent="0.25">
      <c r="AA166">
        <v>0</v>
      </c>
      <c r="AB166">
        <v>0</v>
      </c>
      <c r="AC166">
        <v>0</v>
      </c>
    </row>
    <row r="167" spans="27:29" x14ac:dyDescent="0.25">
      <c r="AA167">
        <v>0</v>
      </c>
      <c r="AB167">
        <v>0</v>
      </c>
      <c r="AC167">
        <v>0</v>
      </c>
    </row>
    <row r="168" spans="27:29" x14ac:dyDescent="0.25">
      <c r="AA168">
        <v>0</v>
      </c>
      <c r="AB168">
        <v>0</v>
      </c>
      <c r="AC168">
        <v>0</v>
      </c>
    </row>
    <row r="169" spans="27:29" x14ac:dyDescent="0.25">
      <c r="AA169">
        <v>0</v>
      </c>
      <c r="AB169">
        <v>0</v>
      </c>
      <c r="AC169">
        <v>0</v>
      </c>
    </row>
    <row r="170" spans="27:29" x14ac:dyDescent="0.25">
      <c r="AA170">
        <v>0</v>
      </c>
      <c r="AB170">
        <v>0</v>
      </c>
      <c r="AC170">
        <v>0</v>
      </c>
    </row>
    <row r="171" spans="27:29" x14ac:dyDescent="0.25">
      <c r="AA171">
        <v>0</v>
      </c>
      <c r="AB171">
        <v>0</v>
      </c>
      <c r="AC171">
        <v>0</v>
      </c>
    </row>
    <row r="172" spans="27:29" x14ac:dyDescent="0.25">
      <c r="AA172">
        <v>0</v>
      </c>
      <c r="AB172">
        <v>0</v>
      </c>
      <c r="AC172">
        <v>0</v>
      </c>
    </row>
    <row r="173" spans="27:29" x14ac:dyDescent="0.25">
      <c r="AA173">
        <v>0</v>
      </c>
      <c r="AB173">
        <v>0</v>
      </c>
      <c r="AC173">
        <v>0</v>
      </c>
    </row>
    <row r="174" spans="27:29" x14ac:dyDescent="0.25">
      <c r="AA174">
        <v>0</v>
      </c>
      <c r="AB174">
        <v>0</v>
      </c>
      <c r="AC174">
        <v>0</v>
      </c>
    </row>
    <row r="175" spans="27:29" x14ac:dyDescent="0.25">
      <c r="AA175">
        <v>0</v>
      </c>
      <c r="AB175">
        <v>0</v>
      </c>
      <c r="AC175">
        <v>0</v>
      </c>
    </row>
    <row r="176" spans="27:29" x14ac:dyDescent="0.25">
      <c r="AA176">
        <v>0</v>
      </c>
      <c r="AB176">
        <v>0</v>
      </c>
      <c r="AC176">
        <v>0</v>
      </c>
    </row>
    <row r="177" spans="27:29" x14ac:dyDescent="0.25">
      <c r="AA177">
        <v>0</v>
      </c>
      <c r="AB177">
        <v>0</v>
      </c>
      <c r="AC177">
        <v>0</v>
      </c>
    </row>
    <row r="178" spans="27:29" x14ac:dyDescent="0.25">
      <c r="AA178">
        <v>0</v>
      </c>
      <c r="AB178">
        <v>0</v>
      </c>
      <c r="AC178">
        <v>0</v>
      </c>
    </row>
    <row r="179" spans="27:29" x14ac:dyDescent="0.25">
      <c r="AA179">
        <v>0</v>
      </c>
      <c r="AB179">
        <v>0</v>
      </c>
      <c r="AC179">
        <v>0</v>
      </c>
    </row>
    <row r="180" spans="27:29" x14ac:dyDescent="0.25">
      <c r="AA180">
        <v>0</v>
      </c>
      <c r="AB180">
        <v>0</v>
      </c>
      <c r="AC180">
        <v>0</v>
      </c>
    </row>
    <row r="181" spans="27:29" x14ac:dyDescent="0.25">
      <c r="AA181">
        <v>0</v>
      </c>
      <c r="AB181">
        <v>0</v>
      </c>
      <c r="AC181">
        <v>0</v>
      </c>
    </row>
    <row r="182" spans="27:29" x14ac:dyDescent="0.25">
      <c r="AA182">
        <v>0</v>
      </c>
      <c r="AB182">
        <v>0</v>
      </c>
      <c r="AC182">
        <v>0</v>
      </c>
    </row>
    <row r="183" spans="27:29" x14ac:dyDescent="0.25">
      <c r="AA183">
        <v>0</v>
      </c>
      <c r="AB183">
        <v>0</v>
      </c>
      <c r="AC183">
        <v>0</v>
      </c>
    </row>
    <row r="184" spans="27:29" x14ac:dyDescent="0.25">
      <c r="AA184">
        <v>0</v>
      </c>
      <c r="AB184">
        <v>0</v>
      </c>
      <c r="AC184">
        <v>0</v>
      </c>
    </row>
    <row r="185" spans="27:29" x14ac:dyDescent="0.25">
      <c r="AA185">
        <v>0</v>
      </c>
      <c r="AB185">
        <v>0</v>
      </c>
      <c r="AC185">
        <v>0</v>
      </c>
    </row>
    <row r="186" spans="27:29" x14ac:dyDescent="0.25">
      <c r="AA186">
        <v>0</v>
      </c>
      <c r="AB186">
        <v>0</v>
      </c>
      <c r="AC186">
        <v>0</v>
      </c>
    </row>
    <row r="187" spans="27:29" x14ac:dyDescent="0.25">
      <c r="AA187">
        <v>0</v>
      </c>
      <c r="AB187">
        <v>0</v>
      </c>
      <c r="AC187">
        <v>0</v>
      </c>
    </row>
    <row r="188" spans="27:29" x14ac:dyDescent="0.25">
      <c r="AA188">
        <v>0</v>
      </c>
      <c r="AB188">
        <v>0</v>
      </c>
      <c r="AC188">
        <v>0</v>
      </c>
    </row>
    <row r="189" spans="27:29" x14ac:dyDescent="0.25">
      <c r="AA189">
        <v>0</v>
      </c>
      <c r="AB189">
        <v>0</v>
      </c>
      <c r="AC189">
        <v>0</v>
      </c>
    </row>
    <row r="190" spans="27:29" x14ac:dyDescent="0.25">
      <c r="AA190">
        <v>0</v>
      </c>
      <c r="AB190">
        <v>0</v>
      </c>
      <c r="AC190">
        <v>0</v>
      </c>
    </row>
    <row r="191" spans="27:29" x14ac:dyDescent="0.25">
      <c r="AA191">
        <v>0</v>
      </c>
      <c r="AB191">
        <v>0</v>
      </c>
      <c r="AC191">
        <v>0</v>
      </c>
    </row>
    <row r="192" spans="27:29" x14ac:dyDescent="0.25">
      <c r="AA192" t="b">
        <v>1</v>
      </c>
      <c r="AB192" t="str">
        <v>Delayed</v>
      </c>
      <c r="AC192">
        <v>112000</v>
      </c>
    </row>
    <row r="193" spans="27:29" x14ac:dyDescent="0.25">
      <c r="AA193" t="b">
        <v>0</v>
      </c>
      <c r="AB193" t="str">
        <v>Received</v>
      </c>
      <c r="AC193">
        <v>8100</v>
      </c>
    </row>
    <row r="194" spans="27:29" x14ac:dyDescent="0.25">
      <c r="AA194" t="b">
        <v>0</v>
      </c>
      <c r="AB194" t="str">
        <v>Received</v>
      </c>
      <c r="AC194">
        <v>26100</v>
      </c>
    </row>
    <row r="195" spans="27:29" x14ac:dyDescent="0.25">
      <c r="AA195" t="b">
        <v>1</v>
      </c>
      <c r="AB195" t="str">
        <v>Received</v>
      </c>
      <c r="AC195">
        <v>204500</v>
      </c>
    </row>
    <row r="196" spans="27:29" x14ac:dyDescent="0.25">
      <c r="AA196" t="b">
        <v>0</v>
      </c>
      <c r="AB196" t="str">
        <v>Received</v>
      </c>
      <c r="AC196">
        <v>20000</v>
      </c>
    </row>
    <row r="197" spans="27:29" x14ac:dyDescent="0.25">
      <c r="AA197" t="b">
        <v>1</v>
      </c>
      <c r="AB197" t="str">
        <v>Completion</v>
      </c>
      <c r="AC197">
        <v>495000</v>
      </c>
    </row>
    <row r="198" spans="27:29" x14ac:dyDescent="0.25">
      <c r="AA198" t="b">
        <v>0</v>
      </c>
      <c r="AB198" t="str">
        <v>Received</v>
      </c>
      <c r="AC198">
        <v>40900</v>
      </c>
    </row>
    <row r="199" spans="27:29" x14ac:dyDescent="0.25">
      <c r="AA199" t="b">
        <v>0</v>
      </c>
      <c r="AB199" t="str">
        <v>Completion</v>
      </c>
      <c r="AC199">
        <v>9700</v>
      </c>
    </row>
    <row r="200" spans="27:29" x14ac:dyDescent="0.25">
      <c r="AA200" t="b">
        <v>0</v>
      </c>
      <c r="AB200" t="str">
        <v>Poor Communication</v>
      </c>
      <c r="AC200">
        <v>100300</v>
      </c>
    </row>
    <row r="201" spans="27:29" x14ac:dyDescent="0.25">
      <c r="AA201" t="b">
        <v>0</v>
      </c>
      <c r="AB201" t="str">
        <v>Received</v>
      </c>
      <c r="AC201">
        <v>35900</v>
      </c>
    </row>
    <row r="202" spans="27:29" x14ac:dyDescent="0.25">
      <c r="AA202" t="b">
        <v>0</v>
      </c>
      <c r="AB202" t="str">
        <v>Poor Communication</v>
      </c>
      <c r="AC202">
        <v>41900</v>
      </c>
    </row>
    <row r="203" spans="27:29" x14ac:dyDescent="0.25">
      <c r="AA203" t="b">
        <v>1</v>
      </c>
      <c r="AB203" t="str">
        <v>Delayed</v>
      </c>
      <c r="AC203">
        <v>90000</v>
      </c>
    </row>
    <row r="204" spans="27:29" x14ac:dyDescent="0.25">
      <c r="AA204" t="b">
        <v>0</v>
      </c>
      <c r="AB204" t="str">
        <v>Completion</v>
      </c>
      <c r="AC204">
        <v>72900</v>
      </c>
    </row>
    <row r="205" spans="27:29" x14ac:dyDescent="0.25">
      <c r="AA205" t="b">
        <v>0</v>
      </c>
      <c r="AB205" t="str">
        <v>Received</v>
      </c>
      <c r="AC205">
        <v>66100</v>
      </c>
    </row>
    <row r="206" spans="27:29" x14ac:dyDescent="0.25">
      <c r="AA206" t="b">
        <v>0</v>
      </c>
      <c r="AB206" t="str">
        <v>Delayed</v>
      </c>
      <c r="AC206">
        <v>20700</v>
      </c>
    </row>
    <row r="207" spans="27:29" x14ac:dyDescent="0.25">
      <c r="AA207" t="b">
        <v>0</v>
      </c>
      <c r="AB207" t="str">
        <v>Completion</v>
      </c>
      <c r="AC207">
        <v>115700</v>
      </c>
    </row>
    <row r="208" spans="27:29" x14ac:dyDescent="0.25">
      <c r="AA208" t="b">
        <v>0</v>
      </c>
      <c r="AB208" t="str">
        <v>Received</v>
      </c>
      <c r="AC208">
        <v>6800</v>
      </c>
    </row>
    <row r="209" spans="27:29" x14ac:dyDescent="0.25">
      <c r="AA209" t="b">
        <v>0</v>
      </c>
      <c r="AB209" t="str">
        <v>Received</v>
      </c>
      <c r="AC209">
        <v>70200</v>
      </c>
    </row>
    <row r="210" spans="27:29" x14ac:dyDescent="0.25">
      <c r="AA210" t="b">
        <v>0</v>
      </c>
      <c r="AB210" t="str">
        <v>Poor Communication</v>
      </c>
      <c r="AC210">
        <v>33800</v>
      </c>
    </row>
    <row r="211" spans="27:29" x14ac:dyDescent="0.25">
      <c r="AA211" t="b">
        <v>0</v>
      </c>
      <c r="AB211" t="str">
        <v>Completion</v>
      </c>
      <c r="AC211">
        <v>82500</v>
      </c>
    </row>
    <row r="212" spans="27:29" x14ac:dyDescent="0.25">
      <c r="AA212" t="b">
        <v>0</v>
      </c>
      <c r="AB212" t="str">
        <v>Delayed</v>
      </c>
      <c r="AC212">
        <v>3000</v>
      </c>
    </row>
    <row r="213" spans="27:29" x14ac:dyDescent="0.25">
      <c r="AA213" t="b">
        <v>0</v>
      </c>
      <c r="AB213" t="str">
        <v>Delayed</v>
      </c>
      <c r="AC213">
        <v>18900</v>
      </c>
    </row>
    <row r="214" spans="27:29" x14ac:dyDescent="0.25">
      <c r="AA214" t="b">
        <v>0</v>
      </c>
      <c r="AB214" t="str">
        <v>Received</v>
      </c>
      <c r="AC214">
        <v>34600</v>
      </c>
    </row>
    <row r="215" spans="27:29" x14ac:dyDescent="0.25">
      <c r="AA215" t="b">
        <v>0</v>
      </c>
      <c r="AB215" t="str">
        <v>Received</v>
      </c>
      <c r="AC215">
        <v>67600</v>
      </c>
    </row>
    <row r="216" spans="27:29" x14ac:dyDescent="0.25">
      <c r="AA216" t="b">
        <v>0</v>
      </c>
      <c r="AB216" t="str">
        <v>Completion</v>
      </c>
      <c r="AC216">
        <v>21600</v>
      </c>
    </row>
    <row r="217" spans="27:29" x14ac:dyDescent="0.25">
      <c r="AA217" t="b">
        <v>0</v>
      </c>
      <c r="AB217" t="str">
        <v>Delayed</v>
      </c>
      <c r="AC217">
        <v>1200</v>
      </c>
    </row>
    <row r="218" spans="27:29" x14ac:dyDescent="0.25">
      <c r="AA218" t="b">
        <v>0</v>
      </c>
      <c r="AB218" t="str">
        <v>Completion</v>
      </c>
      <c r="AC218">
        <v>82000</v>
      </c>
    </row>
    <row r="219" spans="27:29" x14ac:dyDescent="0.25">
      <c r="AA219" t="b">
        <v>0</v>
      </c>
      <c r="AB219" t="str">
        <v>Poor Communication</v>
      </c>
      <c r="AC219">
        <v>35700</v>
      </c>
    </row>
    <row r="220" spans="27:29" x14ac:dyDescent="0.25">
      <c r="AA220" t="b">
        <v>0</v>
      </c>
      <c r="AB220" t="str">
        <v>Delayed</v>
      </c>
      <c r="AC220">
        <v>141900</v>
      </c>
    </row>
    <row r="221" spans="27:29" x14ac:dyDescent="0.25">
      <c r="AA221" t="b">
        <v>0</v>
      </c>
      <c r="AB221" t="str">
        <v>Completion</v>
      </c>
      <c r="AC221">
        <v>71000</v>
      </c>
    </row>
    <row r="222" spans="27:29" x14ac:dyDescent="0.25">
      <c r="AA222" t="b">
        <v>1</v>
      </c>
      <c r="AB222" t="str">
        <v>Completion</v>
      </c>
      <c r="AC222">
        <v>315300</v>
      </c>
    </row>
    <row r="223" spans="27:29" x14ac:dyDescent="0.25">
      <c r="AA223" t="b">
        <v>0</v>
      </c>
      <c r="AB223" t="str">
        <v>Received</v>
      </c>
      <c r="AC223">
        <v>76700</v>
      </c>
    </row>
    <row r="224" spans="27:29" x14ac:dyDescent="0.25">
      <c r="AA224" t="b">
        <v>0</v>
      </c>
      <c r="AB224" t="str">
        <v>Received</v>
      </c>
      <c r="AC224">
        <v>85800</v>
      </c>
    </row>
    <row r="225" spans="27:29" x14ac:dyDescent="0.25">
      <c r="AA225" t="b">
        <v>0</v>
      </c>
      <c r="AB225" t="str">
        <v>Received</v>
      </c>
      <c r="AC225">
        <v>53900</v>
      </c>
    </row>
    <row r="226" spans="27:29" x14ac:dyDescent="0.25">
      <c r="AA226" t="b">
        <v>0</v>
      </c>
      <c r="AB226" t="str">
        <v>Received</v>
      </c>
      <c r="AC226">
        <v>3300</v>
      </c>
    </row>
    <row r="227" spans="27:29" x14ac:dyDescent="0.25">
      <c r="AA227" t="b">
        <v>0</v>
      </c>
      <c r="AB227" t="str">
        <v>Received</v>
      </c>
      <c r="AC227">
        <v>90000</v>
      </c>
    </row>
    <row r="228" spans="27:29" x14ac:dyDescent="0.25">
      <c r="AA228" t="b">
        <v>0</v>
      </c>
      <c r="AB228" t="str">
        <v>Received</v>
      </c>
      <c r="AC228">
        <v>21900</v>
      </c>
    </row>
    <row r="229" spans="27:29" x14ac:dyDescent="0.25">
      <c r="AA229" t="b">
        <v>0</v>
      </c>
      <c r="AB229" t="str">
        <v>Received</v>
      </c>
      <c r="AC229">
        <v>49500</v>
      </c>
    </row>
    <row r="230" spans="27:29" x14ac:dyDescent="0.25">
      <c r="AA230" t="b">
        <v>0</v>
      </c>
      <c r="AB230" t="str">
        <v>Completion</v>
      </c>
      <c r="AC230">
        <v>49100</v>
      </c>
    </row>
    <row r="231" spans="27:29" x14ac:dyDescent="0.25">
      <c r="AA231" t="b">
        <v>0</v>
      </c>
      <c r="AB231" t="str">
        <v>Completion</v>
      </c>
      <c r="AC231">
        <v>132100</v>
      </c>
    </row>
    <row r="232" spans="27:29" x14ac:dyDescent="0.25">
      <c r="AA232" t="b">
        <v>0</v>
      </c>
      <c r="AB232" t="str">
        <v>Poor Communication</v>
      </c>
      <c r="AC232">
        <v>10500</v>
      </c>
    </row>
    <row r="233" spans="27:29" x14ac:dyDescent="0.25">
      <c r="AA233" t="b">
        <v>1</v>
      </c>
      <c r="AB233" t="str">
        <v>Received</v>
      </c>
      <c r="AC233">
        <v>195600</v>
      </c>
    </row>
    <row r="234" spans="27:29" x14ac:dyDescent="0.25">
      <c r="AA234" t="b">
        <v>0</v>
      </c>
      <c r="AB234" t="str">
        <v>Completion</v>
      </c>
      <c r="AC234">
        <v>34900</v>
      </c>
    </row>
    <row r="235" spans="27:29" x14ac:dyDescent="0.25">
      <c r="AA235" t="b">
        <v>0</v>
      </c>
      <c r="AB235" t="str">
        <v>Completion</v>
      </c>
      <c r="AC235">
        <v>105500</v>
      </c>
    </row>
    <row r="236" spans="27:29" x14ac:dyDescent="0.25">
      <c r="AA236" t="b">
        <v>0</v>
      </c>
      <c r="AB236" t="str">
        <v>Completion</v>
      </c>
      <c r="AC236">
        <v>63200</v>
      </c>
    </row>
    <row r="237" spans="27:29" x14ac:dyDescent="0.25">
      <c r="AA237" t="b">
        <v>0</v>
      </c>
      <c r="AB237" t="str">
        <v>Completion</v>
      </c>
      <c r="AC237">
        <v>35500</v>
      </c>
    </row>
    <row r="238" spans="27:29" x14ac:dyDescent="0.25">
      <c r="AA238" t="b">
        <v>1</v>
      </c>
      <c r="AB238" t="str">
        <v>Received</v>
      </c>
      <c r="AC238">
        <v>17200</v>
      </c>
    </row>
    <row r="239" spans="27:29" x14ac:dyDescent="0.25">
      <c r="AA239" t="b">
        <v>0</v>
      </c>
      <c r="AB239" t="str">
        <v>Delayed</v>
      </c>
      <c r="AC239">
        <v>7400</v>
      </c>
    </row>
    <row r="240" spans="27:29" x14ac:dyDescent="0.25">
      <c r="AA240" t="b">
        <v>0</v>
      </c>
      <c r="AB240" t="str">
        <v>Delayed</v>
      </c>
      <c r="AC240">
        <v>4800</v>
      </c>
    </row>
    <row r="241" spans="27:29" x14ac:dyDescent="0.25">
      <c r="AA241" t="b">
        <v>0</v>
      </c>
      <c r="AB241" t="str">
        <v>Poor Communication</v>
      </c>
      <c r="AC241">
        <v>12700</v>
      </c>
    </row>
    <row r="242" spans="27:29" x14ac:dyDescent="0.25">
      <c r="AA242" t="b">
        <v>0</v>
      </c>
      <c r="AB242" t="str">
        <v>Poor Communication</v>
      </c>
      <c r="AC242">
        <v>7000</v>
      </c>
    </row>
    <row r="243" spans="27:29" x14ac:dyDescent="0.25">
      <c r="AA243" t="b">
        <v>1</v>
      </c>
      <c r="AB243" t="str">
        <v>Poor Communication</v>
      </c>
      <c r="AC243">
        <v>272500</v>
      </c>
    </row>
    <row r="244" spans="27:29" x14ac:dyDescent="0.25">
      <c r="AA244" t="b">
        <v>0</v>
      </c>
      <c r="AB244" t="str">
        <v>Delayed</v>
      </c>
      <c r="AC244">
        <v>6300</v>
      </c>
    </row>
    <row r="245" spans="27:29" x14ac:dyDescent="0.25">
      <c r="AA245">
        <v>0</v>
      </c>
      <c r="AB245">
        <v>0</v>
      </c>
      <c r="AC245">
        <v>0</v>
      </c>
    </row>
    <row r="246" spans="27:29" x14ac:dyDescent="0.25">
      <c r="AA246">
        <v>0</v>
      </c>
      <c r="AB246">
        <v>0</v>
      </c>
      <c r="AC246">
        <v>0</v>
      </c>
    </row>
    <row r="247" spans="27:29" x14ac:dyDescent="0.25">
      <c r="AA247">
        <v>0</v>
      </c>
      <c r="AB247">
        <v>0</v>
      </c>
      <c r="AC247">
        <v>0</v>
      </c>
    </row>
    <row r="248" spans="27:29" x14ac:dyDescent="0.25">
      <c r="AA248">
        <v>0</v>
      </c>
      <c r="AB248">
        <v>0</v>
      </c>
      <c r="AC248">
        <v>0</v>
      </c>
    </row>
    <row r="249" spans="27:29" x14ac:dyDescent="0.25">
      <c r="AA249">
        <v>0</v>
      </c>
      <c r="AB249">
        <v>0</v>
      </c>
      <c r="AC249">
        <v>0</v>
      </c>
    </row>
    <row r="250" spans="27:29" x14ac:dyDescent="0.25">
      <c r="AA250">
        <v>0</v>
      </c>
      <c r="AB250">
        <v>0</v>
      </c>
      <c r="AC250">
        <v>0</v>
      </c>
    </row>
    <row r="251" spans="27:29" x14ac:dyDescent="0.25">
      <c r="AA251">
        <v>0</v>
      </c>
      <c r="AB251">
        <v>0</v>
      </c>
      <c r="AC251">
        <v>0</v>
      </c>
    </row>
    <row r="252" spans="27:29" x14ac:dyDescent="0.25">
      <c r="AA252">
        <v>0</v>
      </c>
      <c r="AB252">
        <v>0</v>
      </c>
      <c r="AC252">
        <v>0</v>
      </c>
    </row>
    <row r="253" spans="27:29" x14ac:dyDescent="0.25">
      <c r="AA253">
        <v>0</v>
      </c>
      <c r="AB253">
        <v>0</v>
      </c>
      <c r="AC253">
        <v>0</v>
      </c>
    </row>
    <row r="254" spans="27:29" x14ac:dyDescent="0.25">
      <c r="AA254">
        <v>0</v>
      </c>
      <c r="AB254">
        <v>0</v>
      </c>
      <c r="AC254">
        <v>0</v>
      </c>
    </row>
    <row r="255" spans="27:29" x14ac:dyDescent="0.25">
      <c r="AA255">
        <v>0</v>
      </c>
      <c r="AB255">
        <v>0</v>
      </c>
      <c r="AC255">
        <v>0</v>
      </c>
    </row>
    <row r="256" spans="27:29" x14ac:dyDescent="0.25">
      <c r="AA256">
        <v>0</v>
      </c>
      <c r="AB256">
        <v>0</v>
      </c>
      <c r="AC256">
        <v>0</v>
      </c>
    </row>
    <row r="257" spans="27:29" x14ac:dyDescent="0.25">
      <c r="AA257">
        <v>0</v>
      </c>
      <c r="AB257">
        <v>0</v>
      </c>
      <c r="AC257">
        <v>0</v>
      </c>
    </row>
    <row r="258" spans="27:29" x14ac:dyDescent="0.25">
      <c r="AA258">
        <v>0</v>
      </c>
      <c r="AB258">
        <v>0</v>
      </c>
      <c r="AC258">
        <v>0</v>
      </c>
    </row>
    <row r="259" spans="27:29" x14ac:dyDescent="0.25">
      <c r="AA259">
        <v>0</v>
      </c>
      <c r="AB259">
        <v>0</v>
      </c>
      <c r="AC259">
        <v>0</v>
      </c>
    </row>
    <row r="260" spans="27:29" x14ac:dyDescent="0.25">
      <c r="AA260">
        <v>0</v>
      </c>
      <c r="AB260">
        <v>0</v>
      </c>
      <c r="AC260">
        <v>0</v>
      </c>
    </row>
    <row r="261" spans="27:29" x14ac:dyDescent="0.25">
      <c r="AA261">
        <v>0</v>
      </c>
      <c r="AB261">
        <v>0</v>
      </c>
      <c r="AC261">
        <v>0</v>
      </c>
    </row>
    <row r="262" spans="27:29" x14ac:dyDescent="0.25">
      <c r="AA262">
        <v>0</v>
      </c>
      <c r="AB262">
        <v>0</v>
      </c>
      <c r="AC262">
        <v>0</v>
      </c>
    </row>
    <row r="263" spans="27:29" x14ac:dyDescent="0.25">
      <c r="AA263">
        <v>0</v>
      </c>
      <c r="AB263">
        <v>0</v>
      </c>
      <c r="AC263">
        <v>0</v>
      </c>
    </row>
    <row r="264" spans="27:29" x14ac:dyDescent="0.25">
      <c r="AA264">
        <v>0</v>
      </c>
      <c r="AB264">
        <v>0</v>
      </c>
      <c r="AC264">
        <v>0</v>
      </c>
    </row>
    <row r="265" spans="27:29" x14ac:dyDescent="0.25">
      <c r="AA265">
        <v>0</v>
      </c>
      <c r="AB265">
        <v>0</v>
      </c>
      <c r="AC265">
        <v>0</v>
      </c>
    </row>
    <row r="266" spans="27:29" x14ac:dyDescent="0.25">
      <c r="AA266">
        <v>0</v>
      </c>
      <c r="AB266">
        <v>0</v>
      </c>
      <c r="AC266">
        <v>0</v>
      </c>
    </row>
    <row r="267" spans="27:29" x14ac:dyDescent="0.25">
      <c r="AA267">
        <v>0</v>
      </c>
      <c r="AB267">
        <v>0</v>
      </c>
      <c r="AC267">
        <v>0</v>
      </c>
    </row>
    <row r="268" spans="27:29" x14ac:dyDescent="0.25">
      <c r="AA268">
        <v>0</v>
      </c>
      <c r="AB268">
        <v>0</v>
      </c>
      <c r="AC268">
        <v>0</v>
      </c>
    </row>
    <row r="269" spans="27:29" x14ac:dyDescent="0.25">
      <c r="AA269">
        <v>0</v>
      </c>
      <c r="AB269">
        <v>0</v>
      </c>
      <c r="AC269">
        <v>0</v>
      </c>
    </row>
    <row r="270" spans="27:29" x14ac:dyDescent="0.25">
      <c r="AA270">
        <v>0</v>
      </c>
      <c r="AB270">
        <v>0</v>
      </c>
      <c r="AC270">
        <v>0</v>
      </c>
    </row>
    <row r="271" spans="27:29" x14ac:dyDescent="0.25">
      <c r="AA271">
        <v>0</v>
      </c>
      <c r="AB271">
        <v>0</v>
      </c>
      <c r="AC271">
        <v>0</v>
      </c>
    </row>
    <row r="272" spans="27:29" x14ac:dyDescent="0.25">
      <c r="AA272">
        <v>0</v>
      </c>
      <c r="AB272">
        <v>0</v>
      </c>
      <c r="AC272">
        <v>0</v>
      </c>
    </row>
    <row r="273" spans="27:29" x14ac:dyDescent="0.25">
      <c r="AA273">
        <v>0</v>
      </c>
      <c r="AB273">
        <v>0</v>
      </c>
      <c r="AC273">
        <v>0</v>
      </c>
    </row>
    <row r="274" spans="27:29" x14ac:dyDescent="0.25">
      <c r="AA274">
        <v>0</v>
      </c>
      <c r="AB274">
        <v>0</v>
      </c>
      <c r="AC274">
        <v>0</v>
      </c>
    </row>
    <row r="275" spans="27:29" x14ac:dyDescent="0.25">
      <c r="AA275">
        <v>0</v>
      </c>
      <c r="AB275">
        <v>0</v>
      </c>
      <c r="AC275">
        <v>0</v>
      </c>
    </row>
    <row r="276" spans="27:29" x14ac:dyDescent="0.25">
      <c r="AA276">
        <v>0</v>
      </c>
      <c r="AB276">
        <v>0</v>
      </c>
      <c r="AC276">
        <v>0</v>
      </c>
    </row>
    <row r="277" spans="27:29" x14ac:dyDescent="0.25">
      <c r="AA277">
        <v>0</v>
      </c>
      <c r="AB277">
        <v>0</v>
      </c>
      <c r="AC277">
        <v>0</v>
      </c>
    </row>
    <row r="278" spans="27:29" x14ac:dyDescent="0.25">
      <c r="AA278">
        <v>0</v>
      </c>
      <c r="AB278">
        <v>0</v>
      </c>
      <c r="AC278">
        <v>0</v>
      </c>
    </row>
    <row r="279" spans="27:29" x14ac:dyDescent="0.25">
      <c r="AA279">
        <v>0</v>
      </c>
      <c r="AB279">
        <v>0</v>
      </c>
      <c r="AC279">
        <v>0</v>
      </c>
    </row>
    <row r="280" spans="27:29" x14ac:dyDescent="0.25">
      <c r="AA280">
        <v>0</v>
      </c>
      <c r="AB280">
        <v>0</v>
      </c>
      <c r="AC280">
        <v>0</v>
      </c>
    </row>
    <row r="281" spans="27:29" x14ac:dyDescent="0.25">
      <c r="AA281">
        <v>0</v>
      </c>
      <c r="AB281">
        <v>0</v>
      </c>
      <c r="AC281">
        <v>0</v>
      </c>
    </row>
    <row r="282" spans="27:29" x14ac:dyDescent="0.25">
      <c r="AA282">
        <v>0</v>
      </c>
      <c r="AB282">
        <v>0</v>
      </c>
      <c r="AC282">
        <v>0</v>
      </c>
    </row>
    <row r="283" spans="27:29" x14ac:dyDescent="0.25">
      <c r="AA283">
        <v>0</v>
      </c>
      <c r="AB283">
        <v>0</v>
      </c>
      <c r="AC283">
        <v>0</v>
      </c>
    </row>
    <row r="284" spans="27:29" x14ac:dyDescent="0.25">
      <c r="AA284">
        <v>0</v>
      </c>
      <c r="AB284">
        <v>0</v>
      </c>
      <c r="AC284">
        <v>0</v>
      </c>
    </row>
    <row r="285" spans="27:29" x14ac:dyDescent="0.25">
      <c r="AA285">
        <v>0</v>
      </c>
      <c r="AB285">
        <v>0</v>
      </c>
      <c r="AC285">
        <v>0</v>
      </c>
    </row>
    <row r="286" spans="27:29" x14ac:dyDescent="0.25">
      <c r="AA286">
        <v>0</v>
      </c>
      <c r="AB286">
        <v>0</v>
      </c>
      <c r="AC286">
        <v>0</v>
      </c>
    </row>
    <row r="287" spans="27:29" x14ac:dyDescent="0.25">
      <c r="AA287" t="b">
        <v>1</v>
      </c>
      <c r="AB287" t="str">
        <v>Delayed – EOD</v>
      </c>
      <c r="AC287">
        <v>313400</v>
      </c>
    </row>
    <row r="288" spans="27:29" x14ac:dyDescent="0.25">
      <c r="AA288" t="b">
        <v>0</v>
      </c>
      <c r="AB288" t="str">
        <v>Delayed – EOD</v>
      </c>
      <c r="AC288">
        <v>2800</v>
      </c>
    </row>
    <row r="289" spans="27:29" x14ac:dyDescent="0.25">
      <c r="AA289" t="b">
        <v>0</v>
      </c>
      <c r="AB289" t="str">
        <v>Delayed</v>
      </c>
      <c r="AC289">
        <v>11400</v>
      </c>
    </row>
    <row r="290" spans="27:29" x14ac:dyDescent="0.25">
      <c r="AA290" t="b">
        <v>0</v>
      </c>
      <c r="AB290" t="str">
        <v>Received</v>
      </c>
      <c r="AC290">
        <v>68700</v>
      </c>
    </row>
    <row r="291" spans="27:29" x14ac:dyDescent="0.25">
      <c r="AA291" t="b">
        <v>0</v>
      </c>
      <c r="AB291" t="str">
        <v>Received</v>
      </c>
      <c r="AC291">
        <v>55500</v>
      </c>
    </row>
    <row r="292" spans="27:29" x14ac:dyDescent="0.25">
      <c r="AA292" t="b">
        <v>0</v>
      </c>
      <c r="AB292" t="str">
        <v>Delayed</v>
      </c>
      <c r="AC292">
        <v>26300</v>
      </c>
    </row>
    <row r="293" spans="27:29" x14ac:dyDescent="0.25">
      <c r="AA293" t="b">
        <v>0</v>
      </c>
      <c r="AB293" t="str">
        <v>Completion</v>
      </c>
      <c r="AC293">
        <v>51700</v>
      </c>
    </row>
    <row r="294" spans="27:29" x14ac:dyDescent="0.25">
      <c r="AA294" t="b">
        <v>0</v>
      </c>
      <c r="AB294" t="str">
        <v>Delayed – EOD</v>
      </c>
      <c r="AC294">
        <v>12000</v>
      </c>
    </row>
    <row r="295" spans="27:29" x14ac:dyDescent="0.25">
      <c r="AA295" t="b">
        <v>0</v>
      </c>
      <c r="AB295" t="str">
        <v>Delayed – EOD</v>
      </c>
      <c r="AC295">
        <v>104400</v>
      </c>
    </row>
    <row r="296" spans="27:29" x14ac:dyDescent="0.25">
      <c r="AA296" t="b">
        <v>0</v>
      </c>
      <c r="AB296" t="str">
        <v>Delayed</v>
      </c>
      <c r="AC296">
        <v>79000</v>
      </c>
    </row>
    <row r="297" spans="27:29" x14ac:dyDescent="0.25">
      <c r="AA297" t="b">
        <v>0</v>
      </c>
      <c r="AB297" t="str">
        <v>Received</v>
      </c>
      <c r="AC297">
        <v>138200</v>
      </c>
    </row>
    <row r="298" spans="27:29" x14ac:dyDescent="0.25">
      <c r="AA298" t="b">
        <v>0</v>
      </c>
      <c r="AB298" t="str">
        <v>Delayed – EOD</v>
      </c>
      <c r="AC298">
        <v>124700</v>
      </c>
    </row>
    <row r="299" spans="27:29" x14ac:dyDescent="0.25">
      <c r="AA299" t="b">
        <v>0</v>
      </c>
      <c r="AB299" t="str">
        <v>Delayed – EOD</v>
      </c>
      <c r="AC299">
        <v>52400</v>
      </c>
    </row>
    <row r="300" spans="27:29" x14ac:dyDescent="0.25">
      <c r="AA300" t="b">
        <v>0</v>
      </c>
      <c r="AB300" t="str">
        <v>Completion</v>
      </c>
      <c r="AC300">
        <v>137500</v>
      </c>
    </row>
    <row r="301" spans="27:29" x14ac:dyDescent="0.25">
      <c r="AA301" t="b">
        <v>1</v>
      </c>
      <c r="AB301" t="str">
        <v>Completion</v>
      </c>
      <c r="AC301">
        <v>498000</v>
      </c>
    </row>
    <row r="302" spans="27:29" x14ac:dyDescent="0.25">
      <c r="AA302" t="b">
        <v>0</v>
      </c>
      <c r="AB302" t="str">
        <v>Delayed – EOD</v>
      </c>
      <c r="AC302">
        <v>84700</v>
      </c>
    </row>
    <row r="303" spans="27:29" x14ac:dyDescent="0.25">
      <c r="AA303" t="b">
        <v>0</v>
      </c>
      <c r="AB303" t="str">
        <v>Completion</v>
      </c>
      <c r="AC303">
        <v>37800</v>
      </c>
    </row>
    <row r="304" spans="27:29" x14ac:dyDescent="0.25">
      <c r="AA304" t="b">
        <v>0</v>
      </c>
      <c r="AB304" t="str">
        <v>Completion</v>
      </c>
      <c r="AC304">
        <v>53000</v>
      </c>
    </row>
    <row r="305" spans="27:29" x14ac:dyDescent="0.25">
      <c r="AA305" t="b">
        <v>0</v>
      </c>
      <c r="AB305" t="str">
        <v>Completion</v>
      </c>
      <c r="AC305">
        <v>63200</v>
      </c>
    </row>
    <row r="306" spans="27:29" x14ac:dyDescent="0.25">
      <c r="AA306" t="b">
        <v>0</v>
      </c>
      <c r="AB306" t="str">
        <v>Received</v>
      </c>
      <c r="AC306">
        <v>2000</v>
      </c>
    </row>
    <row r="307" spans="27:29" x14ac:dyDescent="0.25">
      <c r="AA307" t="b">
        <v>0</v>
      </c>
      <c r="AB307" t="str">
        <v>Delayed – EOD</v>
      </c>
      <c r="AC307">
        <v>4800</v>
      </c>
    </row>
    <row r="308" spans="27:29" x14ac:dyDescent="0.25">
      <c r="AA308" t="b">
        <v>0</v>
      </c>
      <c r="AB308" t="str">
        <v>Received</v>
      </c>
      <c r="AC308">
        <v>74300</v>
      </c>
    </row>
    <row r="309" spans="27:29" x14ac:dyDescent="0.25">
      <c r="AA309" t="b">
        <v>0</v>
      </c>
      <c r="AB309" t="str">
        <v>Delayed</v>
      </c>
      <c r="AC309">
        <v>118000</v>
      </c>
    </row>
    <row r="310" spans="27:29" x14ac:dyDescent="0.25">
      <c r="AA310" t="b">
        <v>1</v>
      </c>
      <c r="AB310" t="str">
        <v>Delayed</v>
      </c>
      <c r="AC310">
        <v>56000</v>
      </c>
    </row>
    <row r="311" spans="27:29" x14ac:dyDescent="0.25">
      <c r="AA311" t="b">
        <v>0</v>
      </c>
      <c r="AB311" t="str">
        <v>Received</v>
      </c>
      <c r="AC311">
        <v>16400</v>
      </c>
    </row>
    <row r="312" spans="27:29" x14ac:dyDescent="0.25">
      <c r="AA312" t="b">
        <v>0</v>
      </c>
      <c r="AB312" t="str">
        <v>Delayed</v>
      </c>
      <c r="AC312">
        <v>24400</v>
      </c>
    </row>
    <row r="313" spans="27:29" x14ac:dyDescent="0.25">
      <c r="AA313" t="b">
        <v>0</v>
      </c>
      <c r="AB313" t="str">
        <v>Delayed</v>
      </c>
      <c r="AC313">
        <v>8200</v>
      </c>
    </row>
    <row r="314" spans="27:29" x14ac:dyDescent="0.25">
      <c r="AA314" t="b">
        <v>0</v>
      </c>
      <c r="AB314" t="str">
        <v>Completion</v>
      </c>
      <c r="AC314">
        <v>50600</v>
      </c>
    </row>
    <row r="315" spans="27:29" x14ac:dyDescent="0.25">
      <c r="AA315" t="b">
        <v>0</v>
      </c>
      <c r="AB315" t="str">
        <v>Delayed – EOD</v>
      </c>
      <c r="AC315">
        <v>111800</v>
      </c>
    </row>
    <row r="316" spans="27:29" x14ac:dyDescent="0.25">
      <c r="AA316" t="b">
        <v>1</v>
      </c>
      <c r="AB316" t="str">
        <v>Completion</v>
      </c>
      <c r="AC316">
        <v>136200</v>
      </c>
    </row>
    <row r="317" spans="27:29" x14ac:dyDescent="0.25">
      <c r="AA317" t="b">
        <v>0</v>
      </c>
      <c r="AB317" t="str">
        <v>Received</v>
      </c>
      <c r="AC317">
        <v>9100</v>
      </c>
    </row>
    <row r="318" spans="27:29" x14ac:dyDescent="0.25">
      <c r="AA318" t="b">
        <v>1</v>
      </c>
      <c r="AB318" t="str">
        <v>Delayed</v>
      </c>
      <c r="AC318">
        <v>214700</v>
      </c>
    </row>
    <row r="319" spans="27:29" x14ac:dyDescent="0.25">
      <c r="AA319" t="b">
        <v>0</v>
      </c>
      <c r="AB319" t="str">
        <v>Received</v>
      </c>
      <c r="AC319">
        <v>104700</v>
      </c>
    </row>
    <row r="320" spans="27:29" x14ac:dyDescent="0.25">
      <c r="AA320" t="b">
        <v>0</v>
      </c>
      <c r="AB320" t="str">
        <v>Completion</v>
      </c>
      <c r="AC320">
        <v>28600</v>
      </c>
    </row>
    <row r="321" spans="27:29" x14ac:dyDescent="0.25">
      <c r="AA321" t="b">
        <v>0</v>
      </c>
      <c r="AB321" t="str">
        <v>Delayed – EOD</v>
      </c>
      <c r="AC321">
        <v>59200</v>
      </c>
    </row>
    <row r="322" spans="27:29" x14ac:dyDescent="0.25">
      <c r="AA322" t="b">
        <v>0</v>
      </c>
      <c r="AB322" t="str">
        <v>Completion</v>
      </c>
      <c r="AC322">
        <v>142500</v>
      </c>
    </row>
    <row r="323" spans="27:29" x14ac:dyDescent="0.25">
      <c r="AA323" t="b">
        <v>0</v>
      </c>
      <c r="AB323" t="str">
        <v>Completion</v>
      </c>
      <c r="AC323">
        <v>16900</v>
      </c>
    </row>
    <row r="324" spans="27:29" x14ac:dyDescent="0.25">
      <c r="AA324" t="b">
        <v>0</v>
      </c>
      <c r="AB324" t="str">
        <v>Completion</v>
      </c>
      <c r="AC324">
        <v>40900</v>
      </c>
    </row>
    <row r="325" spans="27:29" x14ac:dyDescent="0.25">
      <c r="AA325" t="b">
        <v>1</v>
      </c>
      <c r="AB325" t="str">
        <v>Delayed – EOD</v>
      </c>
      <c r="AC325">
        <v>12000</v>
      </c>
    </row>
    <row r="326" spans="27:29" x14ac:dyDescent="0.25">
      <c r="AA326" t="b">
        <v>1</v>
      </c>
      <c r="AB326" t="str">
        <v>Completion</v>
      </c>
      <c r="AC326">
        <v>90800</v>
      </c>
    </row>
    <row r="327" spans="27:29" x14ac:dyDescent="0.25">
      <c r="AA327" t="b">
        <v>0</v>
      </c>
      <c r="AB327" t="str">
        <v>Delayed</v>
      </c>
      <c r="AC327">
        <v>198200</v>
      </c>
    </row>
    <row r="328" spans="27:29" x14ac:dyDescent="0.25">
      <c r="AA328" t="b">
        <v>0</v>
      </c>
      <c r="AB328" t="str">
        <v>Completion</v>
      </c>
      <c r="AC328">
        <v>1900</v>
      </c>
    </row>
    <row r="329" spans="27:29" x14ac:dyDescent="0.25">
      <c r="AA329" t="b">
        <v>0</v>
      </c>
      <c r="AB329" t="str">
        <v>Delayed</v>
      </c>
      <c r="AC329">
        <v>17200</v>
      </c>
    </row>
    <row r="330" spans="27:29" x14ac:dyDescent="0.25">
      <c r="AA330" t="b">
        <v>0</v>
      </c>
      <c r="AB330" t="str">
        <v>Delayed</v>
      </c>
      <c r="AC330">
        <v>12000</v>
      </c>
    </row>
    <row r="331" spans="27:29" x14ac:dyDescent="0.25">
      <c r="AA331" t="b">
        <v>0</v>
      </c>
      <c r="AB331" t="str">
        <v>Completion</v>
      </c>
      <c r="AC331">
        <v>2700</v>
      </c>
    </row>
    <row r="332" spans="27:29" x14ac:dyDescent="0.25">
      <c r="AA332" t="b">
        <v>0</v>
      </c>
      <c r="AB332" t="str">
        <v>Completion</v>
      </c>
      <c r="AC332">
        <v>72300</v>
      </c>
    </row>
    <row r="333" spans="27:29" x14ac:dyDescent="0.25">
      <c r="AA333" t="b">
        <v>0</v>
      </c>
      <c r="AB333" t="str">
        <v>Completion</v>
      </c>
      <c r="AC333">
        <v>23200</v>
      </c>
    </row>
    <row r="334" spans="27:29" x14ac:dyDescent="0.25">
      <c r="AA334" t="b">
        <v>0</v>
      </c>
      <c r="AB334" t="str">
        <v>Completion</v>
      </c>
      <c r="AC334">
        <v>35800</v>
      </c>
    </row>
    <row r="335" spans="27:29" x14ac:dyDescent="0.25">
      <c r="AA335" t="b">
        <v>0</v>
      </c>
      <c r="AB335" t="str">
        <v>Completion</v>
      </c>
      <c r="AC335">
        <v>136100</v>
      </c>
    </row>
    <row r="336" spans="27:29" x14ac:dyDescent="0.25">
      <c r="AA336" t="b">
        <v>0</v>
      </c>
      <c r="AB336" t="str">
        <v>Received</v>
      </c>
      <c r="AC336">
        <v>14400</v>
      </c>
    </row>
    <row r="337" spans="27:29" x14ac:dyDescent="0.25">
      <c r="AA337" t="b">
        <v>0</v>
      </c>
      <c r="AB337" t="str">
        <v>Received</v>
      </c>
      <c r="AC337">
        <v>153500</v>
      </c>
    </row>
    <row r="338" spans="27:29" x14ac:dyDescent="0.25">
      <c r="AA338" t="b">
        <v>0</v>
      </c>
      <c r="AB338" t="str">
        <v>Completion</v>
      </c>
      <c r="AC338">
        <v>38500</v>
      </c>
    </row>
    <row r="339" spans="27:29" x14ac:dyDescent="0.25">
      <c r="AA339" t="b">
        <v>0</v>
      </c>
      <c r="AB339" t="str">
        <v>Delayed – EOD</v>
      </c>
      <c r="AC339">
        <v>9100</v>
      </c>
    </row>
    <row r="340" spans="27:29" x14ac:dyDescent="0.25">
      <c r="AA340">
        <v>0</v>
      </c>
      <c r="AB340">
        <v>0</v>
      </c>
      <c r="AC340">
        <v>0</v>
      </c>
    </row>
    <row r="341" spans="27:29" x14ac:dyDescent="0.25">
      <c r="AA341">
        <v>0</v>
      </c>
      <c r="AB341">
        <v>0</v>
      </c>
      <c r="AC341">
        <v>0</v>
      </c>
    </row>
    <row r="342" spans="27:29" x14ac:dyDescent="0.25">
      <c r="AA342">
        <v>0</v>
      </c>
      <c r="AB342">
        <v>0</v>
      </c>
      <c r="AC342">
        <v>0</v>
      </c>
    </row>
    <row r="343" spans="27:29" x14ac:dyDescent="0.25">
      <c r="AA343">
        <v>0</v>
      </c>
      <c r="AB343">
        <v>0</v>
      </c>
      <c r="AC343">
        <v>0</v>
      </c>
    </row>
    <row r="344" spans="27:29" x14ac:dyDescent="0.25">
      <c r="AA344">
        <v>0</v>
      </c>
      <c r="AB344">
        <v>0</v>
      </c>
      <c r="AC344">
        <v>0</v>
      </c>
    </row>
    <row r="345" spans="27:29" x14ac:dyDescent="0.25">
      <c r="AA345">
        <v>0</v>
      </c>
      <c r="AB345">
        <v>0</v>
      </c>
      <c r="AC345">
        <v>0</v>
      </c>
    </row>
    <row r="346" spans="27:29" x14ac:dyDescent="0.25">
      <c r="AA346">
        <v>0</v>
      </c>
      <c r="AB346">
        <v>0</v>
      </c>
      <c r="AC346">
        <v>0</v>
      </c>
    </row>
    <row r="347" spans="27:29" x14ac:dyDescent="0.25">
      <c r="AA347">
        <v>0</v>
      </c>
      <c r="AB347">
        <v>0</v>
      </c>
      <c r="AC347">
        <v>0</v>
      </c>
    </row>
    <row r="348" spans="27:29" x14ac:dyDescent="0.25">
      <c r="AA348">
        <v>0</v>
      </c>
      <c r="AB348">
        <v>0</v>
      </c>
      <c r="AC348">
        <v>0</v>
      </c>
    </row>
    <row r="349" spans="27:29" x14ac:dyDescent="0.25">
      <c r="AA349">
        <v>0</v>
      </c>
      <c r="AB349">
        <v>0</v>
      </c>
      <c r="AC349">
        <v>0</v>
      </c>
    </row>
    <row r="350" spans="27:29" x14ac:dyDescent="0.25">
      <c r="AA350">
        <v>0</v>
      </c>
      <c r="AB350">
        <v>0</v>
      </c>
      <c r="AC350">
        <v>0</v>
      </c>
    </row>
    <row r="351" spans="27:29" x14ac:dyDescent="0.25">
      <c r="AA351">
        <v>0</v>
      </c>
      <c r="AB351">
        <v>0</v>
      </c>
      <c r="AC351">
        <v>0</v>
      </c>
    </row>
    <row r="352" spans="27:29" x14ac:dyDescent="0.25">
      <c r="AA352">
        <v>0</v>
      </c>
      <c r="AB352">
        <v>0</v>
      </c>
      <c r="AC352">
        <v>0</v>
      </c>
    </row>
    <row r="353" spans="27:29" x14ac:dyDescent="0.25">
      <c r="AA353">
        <v>0</v>
      </c>
      <c r="AB353">
        <v>0</v>
      </c>
      <c r="AC353">
        <v>0</v>
      </c>
    </row>
    <row r="354" spans="27:29" x14ac:dyDescent="0.25">
      <c r="AA354">
        <v>0</v>
      </c>
      <c r="AB354">
        <v>0</v>
      </c>
      <c r="AC354">
        <v>0</v>
      </c>
    </row>
    <row r="355" spans="27:29" x14ac:dyDescent="0.25">
      <c r="AA355">
        <v>0</v>
      </c>
      <c r="AB355">
        <v>0</v>
      </c>
      <c r="AC355">
        <v>0</v>
      </c>
    </row>
    <row r="356" spans="27:29" x14ac:dyDescent="0.25">
      <c r="AA356">
        <v>0</v>
      </c>
      <c r="AB356">
        <v>0</v>
      </c>
      <c r="AC356">
        <v>0</v>
      </c>
    </row>
    <row r="357" spans="27:29" x14ac:dyDescent="0.25">
      <c r="AA357">
        <v>0</v>
      </c>
      <c r="AB357">
        <v>0</v>
      </c>
      <c r="AC357">
        <v>0</v>
      </c>
    </row>
    <row r="358" spans="27:29" x14ac:dyDescent="0.25">
      <c r="AA358">
        <v>0</v>
      </c>
      <c r="AB358">
        <v>0</v>
      </c>
      <c r="AC358">
        <v>0</v>
      </c>
    </row>
    <row r="359" spans="27:29" x14ac:dyDescent="0.25">
      <c r="AA359">
        <v>0</v>
      </c>
      <c r="AB359">
        <v>0</v>
      </c>
      <c r="AC359">
        <v>0</v>
      </c>
    </row>
    <row r="360" spans="27:29" x14ac:dyDescent="0.25">
      <c r="AA360">
        <v>0</v>
      </c>
      <c r="AB360">
        <v>0</v>
      </c>
      <c r="AC360">
        <v>0</v>
      </c>
    </row>
    <row r="361" spans="27:29" x14ac:dyDescent="0.25">
      <c r="AA361">
        <v>0</v>
      </c>
      <c r="AB361">
        <v>0</v>
      </c>
      <c r="AC361">
        <v>0</v>
      </c>
    </row>
    <row r="362" spans="27:29" x14ac:dyDescent="0.25">
      <c r="AA362">
        <v>0</v>
      </c>
      <c r="AB362">
        <v>0</v>
      </c>
      <c r="AC362">
        <v>0</v>
      </c>
    </row>
    <row r="363" spans="27:29" x14ac:dyDescent="0.25">
      <c r="AA363">
        <v>0</v>
      </c>
      <c r="AB363">
        <v>0</v>
      </c>
      <c r="AC363">
        <v>0</v>
      </c>
    </row>
    <row r="364" spans="27:29" x14ac:dyDescent="0.25">
      <c r="AA364">
        <v>0</v>
      </c>
      <c r="AB364">
        <v>0</v>
      </c>
      <c r="AC364">
        <v>0</v>
      </c>
    </row>
    <row r="365" spans="27:29" x14ac:dyDescent="0.25">
      <c r="AA365">
        <v>0</v>
      </c>
      <c r="AB365">
        <v>0</v>
      </c>
      <c r="AC365">
        <v>0</v>
      </c>
    </row>
    <row r="366" spans="27:29" x14ac:dyDescent="0.25">
      <c r="AA366">
        <v>0</v>
      </c>
      <c r="AB366">
        <v>0</v>
      </c>
      <c r="AC366">
        <v>0</v>
      </c>
    </row>
    <row r="367" spans="27:29" x14ac:dyDescent="0.25">
      <c r="AA367">
        <v>0</v>
      </c>
      <c r="AB367">
        <v>0</v>
      </c>
      <c r="AC367">
        <v>0</v>
      </c>
    </row>
    <row r="368" spans="27:29" x14ac:dyDescent="0.25">
      <c r="AA368">
        <v>0</v>
      </c>
      <c r="AB368">
        <v>0</v>
      </c>
      <c r="AC368">
        <v>0</v>
      </c>
    </row>
    <row r="369" spans="27:29" x14ac:dyDescent="0.25">
      <c r="AA369">
        <v>0</v>
      </c>
      <c r="AB369">
        <v>0</v>
      </c>
      <c r="AC369">
        <v>0</v>
      </c>
    </row>
    <row r="370" spans="27:29" x14ac:dyDescent="0.25">
      <c r="AA370">
        <v>0</v>
      </c>
      <c r="AB370">
        <v>0</v>
      </c>
      <c r="AC370">
        <v>0</v>
      </c>
    </row>
    <row r="371" spans="27:29" x14ac:dyDescent="0.25">
      <c r="AA371">
        <v>0</v>
      </c>
      <c r="AB371">
        <v>0</v>
      </c>
      <c r="AC371">
        <v>0</v>
      </c>
    </row>
    <row r="372" spans="27:29" x14ac:dyDescent="0.25">
      <c r="AA372">
        <v>0</v>
      </c>
      <c r="AB372">
        <v>0</v>
      </c>
      <c r="AC372">
        <v>0</v>
      </c>
    </row>
    <row r="373" spans="27:29" x14ac:dyDescent="0.25">
      <c r="AA373">
        <v>0</v>
      </c>
      <c r="AB373">
        <v>0</v>
      </c>
      <c r="AC373">
        <v>0</v>
      </c>
    </row>
    <row r="374" spans="27:29" x14ac:dyDescent="0.25">
      <c r="AA374">
        <v>0</v>
      </c>
      <c r="AB374">
        <v>0</v>
      </c>
      <c r="AC374">
        <v>0</v>
      </c>
    </row>
    <row r="375" spans="27:29" x14ac:dyDescent="0.25">
      <c r="AA375">
        <v>0</v>
      </c>
      <c r="AB375">
        <v>0</v>
      </c>
      <c r="AC375">
        <v>0</v>
      </c>
    </row>
    <row r="376" spans="27:29" x14ac:dyDescent="0.25">
      <c r="AA376">
        <v>0</v>
      </c>
      <c r="AB376">
        <v>0</v>
      </c>
      <c r="AC376">
        <v>0</v>
      </c>
    </row>
    <row r="377" spans="27:29" x14ac:dyDescent="0.25">
      <c r="AA377">
        <v>0</v>
      </c>
      <c r="AB377">
        <v>0</v>
      </c>
      <c r="AC377">
        <v>0</v>
      </c>
    </row>
    <row r="378" spans="27:29" x14ac:dyDescent="0.25">
      <c r="AA378">
        <v>0</v>
      </c>
      <c r="AB378">
        <v>0</v>
      </c>
      <c r="AC378">
        <v>0</v>
      </c>
    </row>
    <row r="379" spans="27:29" x14ac:dyDescent="0.25">
      <c r="AA379">
        <v>0</v>
      </c>
      <c r="AB379">
        <v>0</v>
      </c>
      <c r="AC379">
        <v>0</v>
      </c>
    </row>
    <row r="380" spans="27:29" x14ac:dyDescent="0.25">
      <c r="AA380">
        <v>0</v>
      </c>
      <c r="AB380">
        <v>0</v>
      </c>
      <c r="AC380">
        <v>0</v>
      </c>
    </row>
    <row r="381" spans="27:29" x14ac:dyDescent="0.25">
      <c r="AA381">
        <v>0</v>
      </c>
      <c r="AB381">
        <v>0</v>
      </c>
      <c r="AC381">
        <v>0</v>
      </c>
    </row>
    <row r="382" spans="27:29" x14ac:dyDescent="0.25">
      <c r="AA382" t="b">
        <v>0</v>
      </c>
      <c r="AB382" t="str">
        <v>Received</v>
      </c>
      <c r="AC382">
        <v>99800</v>
      </c>
    </row>
    <row r="383" spans="27:29" x14ac:dyDescent="0.25">
      <c r="AA383" t="b">
        <v>0</v>
      </c>
      <c r="AB383" t="str">
        <v>Delayed</v>
      </c>
      <c r="AC383">
        <v>81000</v>
      </c>
    </row>
    <row r="384" spans="27:29" x14ac:dyDescent="0.25">
      <c r="AA384" t="b">
        <v>0</v>
      </c>
      <c r="AB384" t="str">
        <v>Received</v>
      </c>
      <c r="AC384">
        <v>5300</v>
      </c>
    </row>
    <row r="385" spans="27:29" x14ac:dyDescent="0.25">
      <c r="AA385" t="b">
        <v>0</v>
      </c>
      <c r="AB385" t="str">
        <v>Received</v>
      </c>
      <c r="AC385">
        <v>191600</v>
      </c>
    </row>
    <row r="386" spans="27:29" x14ac:dyDescent="0.25">
      <c r="AA386" t="b">
        <v>0</v>
      </c>
      <c r="AB386" t="str">
        <v>Completion</v>
      </c>
      <c r="AC386">
        <v>18800</v>
      </c>
    </row>
    <row r="387" spans="27:29" x14ac:dyDescent="0.25">
      <c r="AA387" t="b">
        <v>0</v>
      </c>
      <c r="AB387" t="str">
        <v>Completion</v>
      </c>
      <c r="AC387">
        <v>1400</v>
      </c>
    </row>
    <row r="388" spans="27:29" x14ac:dyDescent="0.25">
      <c r="AA388" t="b">
        <v>0</v>
      </c>
      <c r="AB388" t="str">
        <v>Received</v>
      </c>
      <c r="AC388">
        <v>20800</v>
      </c>
    </row>
    <row r="389" spans="27:29" x14ac:dyDescent="0.25">
      <c r="AA389" t="b">
        <v>0</v>
      </c>
      <c r="AB389" t="str">
        <v>Received</v>
      </c>
      <c r="AC389">
        <v>5600</v>
      </c>
    </row>
    <row r="390" spans="27:29" x14ac:dyDescent="0.25">
      <c r="AA390" t="b">
        <v>0</v>
      </c>
      <c r="AB390" t="str">
        <v>Received</v>
      </c>
      <c r="AC390">
        <v>42300</v>
      </c>
    </row>
    <row r="391" spans="27:29" x14ac:dyDescent="0.25">
      <c r="AA391" t="b">
        <v>0</v>
      </c>
      <c r="AB391" t="str">
        <v>Received</v>
      </c>
      <c r="AC391">
        <v>2000</v>
      </c>
    </row>
    <row r="392" spans="27:29" x14ac:dyDescent="0.25">
      <c r="AA392" t="b">
        <v>0</v>
      </c>
      <c r="AB392" t="str">
        <v>Received</v>
      </c>
      <c r="AC392">
        <v>100300</v>
      </c>
    </row>
    <row r="393" spans="27:29" x14ac:dyDescent="0.25">
      <c r="AA393" t="b">
        <v>0</v>
      </c>
      <c r="AB393" t="str">
        <v>Received</v>
      </c>
      <c r="AC393">
        <v>40700</v>
      </c>
    </row>
    <row r="394" spans="27:29" x14ac:dyDescent="0.25">
      <c r="AA394" t="b">
        <v>0</v>
      </c>
      <c r="AB394" t="str">
        <v>Received</v>
      </c>
      <c r="AC394">
        <v>7500</v>
      </c>
    </row>
    <row r="395" spans="27:29" x14ac:dyDescent="0.25">
      <c r="AA395" t="b">
        <v>1</v>
      </c>
      <c r="AB395" t="str">
        <v>Received</v>
      </c>
      <c r="AC395">
        <v>20200</v>
      </c>
    </row>
    <row r="396" spans="27:29" x14ac:dyDescent="0.25">
      <c r="AA396" t="b">
        <v>0</v>
      </c>
      <c r="AB396" t="str">
        <v>Completion</v>
      </c>
      <c r="AC396">
        <v>104100</v>
      </c>
    </row>
    <row r="397" spans="27:29" x14ac:dyDescent="0.25">
      <c r="AA397" t="b">
        <v>0</v>
      </c>
      <c r="AB397" t="str">
        <v>Received</v>
      </c>
      <c r="AC397">
        <v>78500</v>
      </c>
    </row>
    <row r="398" spans="27:29" x14ac:dyDescent="0.25">
      <c r="AA398" t="b">
        <v>0</v>
      </c>
      <c r="AB398" t="str">
        <v>Received</v>
      </c>
      <c r="AC398">
        <v>17700</v>
      </c>
    </row>
    <row r="399" spans="27:29" x14ac:dyDescent="0.25">
      <c r="AA399" t="b">
        <v>0</v>
      </c>
      <c r="AB399" t="str">
        <v>Delayed</v>
      </c>
      <c r="AC399">
        <v>68200</v>
      </c>
    </row>
    <row r="400" spans="27:29" x14ac:dyDescent="0.25">
      <c r="AA400" t="b">
        <v>0</v>
      </c>
      <c r="AB400" t="str">
        <v>Received</v>
      </c>
      <c r="AC400">
        <v>61500</v>
      </c>
    </row>
    <row r="401" spans="27:29" x14ac:dyDescent="0.25">
      <c r="AA401" t="b">
        <v>0</v>
      </c>
      <c r="AB401" t="str">
        <v>Received</v>
      </c>
      <c r="AC401">
        <v>5300</v>
      </c>
    </row>
    <row r="402" spans="27:29" x14ac:dyDescent="0.25">
      <c r="AA402" t="b">
        <v>0</v>
      </c>
      <c r="AB402" t="str">
        <v>Received</v>
      </c>
      <c r="AC402">
        <v>77900</v>
      </c>
    </row>
    <row r="403" spans="27:29" x14ac:dyDescent="0.25">
      <c r="AA403" t="b">
        <v>0</v>
      </c>
      <c r="AB403" t="str">
        <v>Received</v>
      </c>
      <c r="AC403">
        <v>37900</v>
      </c>
    </row>
    <row r="404" spans="27:29" x14ac:dyDescent="0.25">
      <c r="AA404" t="b">
        <v>1</v>
      </c>
      <c r="AB404" t="str">
        <v>Completion</v>
      </c>
      <c r="AC404">
        <v>173900</v>
      </c>
    </row>
    <row r="405" spans="27:29" x14ac:dyDescent="0.25">
      <c r="AA405" t="b">
        <v>1</v>
      </c>
      <c r="AB405" t="str">
        <v>Received</v>
      </c>
      <c r="AC405">
        <v>336300</v>
      </c>
    </row>
    <row r="406" spans="27:29" x14ac:dyDescent="0.25">
      <c r="AA406" t="b">
        <v>0</v>
      </c>
      <c r="AB406" t="str">
        <v>Received</v>
      </c>
      <c r="AC406">
        <v>81100</v>
      </c>
    </row>
    <row r="407" spans="27:29" x14ac:dyDescent="0.25">
      <c r="AA407" t="b">
        <v>0</v>
      </c>
      <c r="AB407" t="str">
        <v>Received</v>
      </c>
      <c r="AC407">
        <v>87100</v>
      </c>
    </row>
    <row r="408" spans="27:29" x14ac:dyDescent="0.25">
      <c r="AA408" t="b">
        <v>0</v>
      </c>
      <c r="AB408" t="str">
        <v>Received</v>
      </c>
      <c r="AC408">
        <v>25600</v>
      </c>
    </row>
    <row r="409" spans="27:29" x14ac:dyDescent="0.25">
      <c r="AA409" t="b">
        <v>0</v>
      </c>
      <c r="AB409" t="str">
        <v>Received</v>
      </c>
      <c r="AC409">
        <v>33300</v>
      </c>
    </row>
    <row r="410" spans="27:29" x14ac:dyDescent="0.25">
      <c r="AA410" t="b">
        <v>1</v>
      </c>
      <c r="AB410" t="str">
        <v>Received</v>
      </c>
      <c r="AC410">
        <v>10100</v>
      </c>
    </row>
    <row r="411" spans="27:29" x14ac:dyDescent="0.25">
      <c r="AA411" t="b">
        <v>0</v>
      </c>
      <c r="AB411" t="str">
        <v>Received</v>
      </c>
      <c r="AC411">
        <v>126500</v>
      </c>
    </row>
    <row r="412" spans="27:29" x14ac:dyDescent="0.25">
      <c r="AA412" t="b">
        <v>0</v>
      </c>
      <c r="AB412" t="str">
        <v>Received</v>
      </c>
      <c r="AC412">
        <v>29300</v>
      </c>
    </row>
    <row r="413" spans="27:29" x14ac:dyDescent="0.25">
      <c r="AA413" t="b">
        <v>0</v>
      </c>
      <c r="AB413" t="str">
        <v>Completion</v>
      </c>
      <c r="AC413">
        <v>23300</v>
      </c>
    </row>
    <row r="414" spans="27:29" x14ac:dyDescent="0.25">
      <c r="AA414" t="b">
        <v>0</v>
      </c>
      <c r="AB414" t="str">
        <v>Received</v>
      </c>
      <c r="AC414">
        <v>119600</v>
      </c>
    </row>
    <row r="415" spans="27:29" x14ac:dyDescent="0.25">
      <c r="AA415" t="b">
        <v>0</v>
      </c>
      <c r="AB415" t="str">
        <v>Completion</v>
      </c>
      <c r="AC415">
        <v>81700</v>
      </c>
    </row>
    <row r="416" spans="27:29" x14ac:dyDescent="0.25">
      <c r="AA416" t="b">
        <v>0</v>
      </c>
      <c r="AB416" t="str">
        <v>Received</v>
      </c>
      <c r="AC416">
        <v>94700</v>
      </c>
    </row>
    <row r="417" spans="27:29" x14ac:dyDescent="0.25">
      <c r="AA417" t="b">
        <v>0</v>
      </c>
      <c r="AB417" t="str">
        <v>Received</v>
      </c>
      <c r="AC417">
        <v>28000</v>
      </c>
    </row>
    <row r="418" spans="27:29" x14ac:dyDescent="0.25">
      <c r="AA418" t="b">
        <v>0</v>
      </c>
      <c r="AB418" t="str">
        <v>Delayed</v>
      </c>
      <c r="AC418">
        <v>30000</v>
      </c>
    </row>
    <row r="419" spans="27:29" x14ac:dyDescent="0.25">
      <c r="AA419" t="b">
        <v>0</v>
      </c>
      <c r="AB419" t="str">
        <v>Received</v>
      </c>
      <c r="AC419">
        <v>6600</v>
      </c>
    </row>
    <row r="420" spans="27:29" x14ac:dyDescent="0.25">
      <c r="AA420" t="b">
        <v>0</v>
      </c>
      <c r="AB420" t="str">
        <v>Received</v>
      </c>
      <c r="AC420">
        <v>4700</v>
      </c>
    </row>
    <row r="421" spans="27:29" x14ac:dyDescent="0.25">
      <c r="AA421" t="b">
        <v>1</v>
      </c>
      <c r="AB421" t="str">
        <v>Received</v>
      </c>
      <c r="AC421">
        <v>316600</v>
      </c>
    </row>
    <row r="422" spans="27:29" x14ac:dyDescent="0.25">
      <c r="AA422" t="b">
        <v>0</v>
      </c>
      <c r="AB422" t="str">
        <v>Received</v>
      </c>
      <c r="AC422">
        <v>67400</v>
      </c>
    </row>
    <row r="423" spans="27:29" x14ac:dyDescent="0.25">
      <c r="AA423" t="b">
        <v>1</v>
      </c>
      <c r="AB423" t="str">
        <v>Completion</v>
      </c>
      <c r="AC423">
        <v>14600</v>
      </c>
    </row>
    <row r="424" spans="27:29" x14ac:dyDescent="0.25">
      <c r="AA424" t="b">
        <v>0</v>
      </c>
      <c r="AB424" t="str">
        <v>Completion</v>
      </c>
      <c r="AC424">
        <v>112900</v>
      </c>
    </row>
    <row r="425" spans="27:29" x14ac:dyDescent="0.25">
      <c r="AA425" t="b">
        <v>0</v>
      </c>
      <c r="AB425" t="str">
        <v>Received</v>
      </c>
      <c r="AC425">
        <v>15400</v>
      </c>
    </row>
    <row r="426" spans="27:29" x14ac:dyDescent="0.25">
      <c r="AA426" t="b">
        <v>0</v>
      </c>
      <c r="AB426" t="str">
        <v>Received</v>
      </c>
      <c r="AC426">
        <v>22700</v>
      </c>
    </row>
    <row r="427" spans="27:29" x14ac:dyDescent="0.25">
      <c r="AA427" t="b">
        <v>0</v>
      </c>
      <c r="AB427" t="str">
        <v>Completion</v>
      </c>
      <c r="AC427">
        <v>27200</v>
      </c>
    </row>
    <row r="428" spans="27:29" x14ac:dyDescent="0.25">
      <c r="AA428" t="b">
        <v>0</v>
      </c>
      <c r="AB428" t="str">
        <v>Received</v>
      </c>
      <c r="AC428">
        <v>22300</v>
      </c>
    </row>
    <row r="429" spans="27:29" x14ac:dyDescent="0.25">
      <c r="AA429" t="b">
        <v>1</v>
      </c>
      <c r="AB429" t="str">
        <v>Received</v>
      </c>
      <c r="AC429">
        <v>460300</v>
      </c>
    </row>
    <row r="430" spans="27:29" x14ac:dyDescent="0.25">
      <c r="AA430" t="b">
        <v>0</v>
      </c>
      <c r="AB430" t="str">
        <v>Received</v>
      </c>
      <c r="AC430">
        <v>159000</v>
      </c>
    </row>
    <row r="431" spans="27:29" x14ac:dyDescent="0.25">
      <c r="AA431" t="b">
        <v>0</v>
      </c>
      <c r="AB431" t="str">
        <v>Received</v>
      </c>
      <c r="AC431">
        <v>35500</v>
      </c>
    </row>
    <row r="432" spans="27:29" x14ac:dyDescent="0.25">
      <c r="AA432" t="b">
        <v>0</v>
      </c>
      <c r="AB432" t="str">
        <v>Received</v>
      </c>
      <c r="AC432">
        <v>36200</v>
      </c>
    </row>
    <row r="433" spans="27:29" x14ac:dyDescent="0.25">
      <c r="AA433" t="b">
        <v>0</v>
      </c>
      <c r="AB433" t="str">
        <v>Completion</v>
      </c>
      <c r="AC433">
        <v>12800</v>
      </c>
    </row>
    <row r="434" spans="27:29" x14ac:dyDescent="0.25">
      <c r="AA434" t="b">
        <v>0</v>
      </c>
      <c r="AB434" t="str">
        <v>Received</v>
      </c>
      <c r="AC434">
        <v>20300</v>
      </c>
    </row>
    <row r="435" spans="27:29" x14ac:dyDescent="0.25">
      <c r="AA435">
        <v>0</v>
      </c>
      <c r="AB435">
        <v>0</v>
      </c>
      <c r="AC435">
        <v>0</v>
      </c>
    </row>
    <row r="436" spans="27:29" x14ac:dyDescent="0.25">
      <c r="AA436">
        <v>0</v>
      </c>
      <c r="AB436">
        <v>0</v>
      </c>
      <c r="AC436">
        <v>0</v>
      </c>
    </row>
    <row r="437" spans="27:29" x14ac:dyDescent="0.25">
      <c r="AA437">
        <v>0</v>
      </c>
      <c r="AB437">
        <v>0</v>
      </c>
      <c r="AC437">
        <v>0</v>
      </c>
    </row>
    <row r="438" spans="27:29" x14ac:dyDescent="0.25">
      <c r="AA438">
        <v>0</v>
      </c>
      <c r="AB438">
        <v>0</v>
      </c>
      <c r="AC438">
        <v>0</v>
      </c>
    </row>
    <row r="439" spans="27:29" x14ac:dyDescent="0.25">
      <c r="AA439">
        <v>0</v>
      </c>
      <c r="AB439">
        <v>0</v>
      </c>
      <c r="AC439">
        <v>0</v>
      </c>
    </row>
    <row r="440" spans="27:29" x14ac:dyDescent="0.25">
      <c r="AA440">
        <v>0</v>
      </c>
      <c r="AB440">
        <v>0</v>
      </c>
      <c r="AC440">
        <v>0</v>
      </c>
    </row>
    <row r="441" spans="27:29" x14ac:dyDescent="0.25">
      <c r="AA441">
        <v>0</v>
      </c>
      <c r="AB441">
        <v>0</v>
      </c>
      <c r="AC441">
        <v>0</v>
      </c>
    </row>
    <row r="442" spans="27:29" x14ac:dyDescent="0.25">
      <c r="AA442">
        <v>0</v>
      </c>
      <c r="AB442">
        <v>0</v>
      </c>
      <c r="AC442">
        <v>0</v>
      </c>
    </row>
    <row r="443" spans="27:29" x14ac:dyDescent="0.25">
      <c r="AA443">
        <v>0</v>
      </c>
      <c r="AB443">
        <v>0</v>
      </c>
      <c r="AC443">
        <v>0</v>
      </c>
    </row>
    <row r="444" spans="27:29" x14ac:dyDescent="0.25">
      <c r="AA444">
        <v>0</v>
      </c>
      <c r="AB444">
        <v>0</v>
      </c>
      <c r="AC444">
        <v>0</v>
      </c>
    </row>
    <row r="445" spans="27:29" x14ac:dyDescent="0.25">
      <c r="AA445">
        <v>0</v>
      </c>
      <c r="AB445">
        <v>0</v>
      </c>
      <c r="AC445">
        <v>0</v>
      </c>
    </row>
    <row r="446" spans="27:29" x14ac:dyDescent="0.25">
      <c r="AA446">
        <v>0</v>
      </c>
      <c r="AB446">
        <v>0</v>
      </c>
      <c r="AC446">
        <v>0</v>
      </c>
    </row>
    <row r="447" spans="27:29" x14ac:dyDescent="0.25">
      <c r="AA447">
        <v>0</v>
      </c>
      <c r="AB447">
        <v>0</v>
      </c>
      <c r="AC447">
        <v>0</v>
      </c>
    </row>
    <row r="448" spans="27:29" x14ac:dyDescent="0.25">
      <c r="AA448">
        <v>0</v>
      </c>
      <c r="AB448">
        <v>0</v>
      </c>
      <c r="AC448">
        <v>0</v>
      </c>
    </row>
    <row r="449" spans="27:29" x14ac:dyDescent="0.25">
      <c r="AA449">
        <v>0</v>
      </c>
      <c r="AB449">
        <v>0</v>
      </c>
      <c r="AC449">
        <v>0</v>
      </c>
    </row>
    <row r="450" spans="27:29" x14ac:dyDescent="0.25">
      <c r="AA450">
        <v>0</v>
      </c>
      <c r="AB450">
        <v>0</v>
      </c>
      <c r="AC450">
        <v>0</v>
      </c>
    </row>
    <row r="451" spans="27:29" x14ac:dyDescent="0.25">
      <c r="AA451">
        <v>0</v>
      </c>
      <c r="AB451">
        <v>0</v>
      </c>
      <c r="AC451">
        <v>0</v>
      </c>
    </row>
    <row r="452" spans="27:29" x14ac:dyDescent="0.25">
      <c r="AA452">
        <v>0</v>
      </c>
      <c r="AB452">
        <v>0</v>
      </c>
      <c r="AC452">
        <v>0</v>
      </c>
    </row>
    <row r="453" spans="27:29" x14ac:dyDescent="0.25">
      <c r="AA453">
        <v>0</v>
      </c>
      <c r="AB453">
        <v>0</v>
      </c>
      <c r="AC453">
        <v>0</v>
      </c>
    </row>
    <row r="454" spans="27:29" x14ac:dyDescent="0.25">
      <c r="AA454">
        <v>0</v>
      </c>
      <c r="AB454">
        <v>0</v>
      </c>
      <c r="AC454">
        <v>0</v>
      </c>
    </row>
    <row r="455" spans="27:29" x14ac:dyDescent="0.25">
      <c r="AA455">
        <v>0</v>
      </c>
      <c r="AB455">
        <v>0</v>
      </c>
      <c r="AC455">
        <v>0</v>
      </c>
    </row>
    <row r="456" spans="27:29" x14ac:dyDescent="0.25">
      <c r="AA456">
        <v>0</v>
      </c>
      <c r="AB456">
        <v>0</v>
      </c>
      <c r="AC456">
        <v>0</v>
      </c>
    </row>
    <row r="457" spans="27:29" x14ac:dyDescent="0.25">
      <c r="AA457">
        <v>0</v>
      </c>
      <c r="AB457">
        <v>0</v>
      </c>
      <c r="AC457">
        <v>0</v>
      </c>
    </row>
    <row r="458" spans="27:29" x14ac:dyDescent="0.25">
      <c r="AA458">
        <v>0</v>
      </c>
      <c r="AB458">
        <v>0</v>
      </c>
      <c r="AC458">
        <v>0</v>
      </c>
    </row>
    <row r="459" spans="27:29" x14ac:dyDescent="0.25">
      <c r="AA459">
        <v>0</v>
      </c>
      <c r="AB459">
        <v>0</v>
      </c>
      <c r="AC459">
        <v>0</v>
      </c>
    </row>
    <row r="460" spans="27:29" x14ac:dyDescent="0.25">
      <c r="AA460">
        <v>0</v>
      </c>
      <c r="AB460">
        <v>0</v>
      </c>
      <c r="AC460">
        <v>0</v>
      </c>
    </row>
    <row r="461" spans="27:29" x14ac:dyDescent="0.25">
      <c r="AA461">
        <v>0</v>
      </c>
      <c r="AB461">
        <v>0</v>
      </c>
      <c r="AC461">
        <v>0</v>
      </c>
    </row>
    <row r="462" spans="27:29" x14ac:dyDescent="0.25">
      <c r="AA462">
        <v>0</v>
      </c>
      <c r="AB462">
        <v>0</v>
      </c>
      <c r="AC462">
        <v>0</v>
      </c>
    </row>
    <row r="463" spans="27:29" x14ac:dyDescent="0.25">
      <c r="AA463">
        <v>0</v>
      </c>
      <c r="AB463">
        <v>0</v>
      </c>
      <c r="AC463">
        <v>0</v>
      </c>
    </row>
    <row r="464" spans="27:29" x14ac:dyDescent="0.25">
      <c r="AA464">
        <v>0</v>
      </c>
      <c r="AB464">
        <v>0</v>
      </c>
      <c r="AC464">
        <v>0</v>
      </c>
    </row>
    <row r="465" spans="27:29" x14ac:dyDescent="0.25">
      <c r="AA465">
        <v>0</v>
      </c>
      <c r="AB465">
        <v>0</v>
      </c>
      <c r="AC465">
        <v>0</v>
      </c>
    </row>
    <row r="466" spans="27:29" x14ac:dyDescent="0.25">
      <c r="AA466">
        <v>0</v>
      </c>
      <c r="AB466">
        <v>0</v>
      </c>
      <c r="AC466">
        <v>0</v>
      </c>
    </row>
    <row r="467" spans="27:29" x14ac:dyDescent="0.25">
      <c r="AA467">
        <v>0</v>
      </c>
      <c r="AB467">
        <v>0</v>
      </c>
      <c r="AC467">
        <v>0</v>
      </c>
    </row>
    <row r="468" spans="27:29" x14ac:dyDescent="0.25">
      <c r="AA468">
        <v>0</v>
      </c>
      <c r="AB468">
        <v>0</v>
      </c>
      <c r="AC468">
        <v>0</v>
      </c>
    </row>
    <row r="469" spans="27:29" x14ac:dyDescent="0.25">
      <c r="AA469">
        <v>0</v>
      </c>
      <c r="AB469">
        <v>0</v>
      </c>
      <c r="AC469">
        <v>0</v>
      </c>
    </row>
    <row r="470" spans="27:29" x14ac:dyDescent="0.25">
      <c r="AA470">
        <v>0</v>
      </c>
      <c r="AB470">
        <v>0</v>
      </c>
      <c r="AC470">
        <v>0</v>
      </c>
    </row>
    <row r="471" spans="27:29" x14ac:dyDescent="0.25">
      <c r="AA471">
        <v>0</v>
      </c>
      <c r="AB471">
        <v>0</v>
      </c>
      <c r="AC471">
        <v>0</v>
      </c>
    </row>
    <row r="472" spans="27:29" x14ac:dyDescent="0.25">
      <c r="AA472">
        <v>0</v>
      </c>
      <c r="AB472">
        <v>0</v>
      </c>
      <c r="AC472">
        <v>0</v>
      </c>
    </row>
    <row r="473" spans="27:29" x14ac:dyDescent="0.25">
      <c r="AA473">
        <v>0</v>
      </c>
      <c r="AB473">
        <v>0</v>
      </c>
      <c r="AC473">
        <v>0</v>
      </c>
    </row>
    <row r="474" spans="27:29" x14ac:dyDescent="0.25">
      <c r="AA474">
        <v>0</v>
      </c>
      <c r="AB474">
        <v>0</v>
      </c>
      <c r="AC474">
        <v>0</v>
      </c>
    </row>
    <row r="475" spans="27:29" x14ac:dyDescent="0.25">
      <c r="AA475">
        <v>0</v>
      </c>
      <c r="AB475">
        <v>0</v>
      </c>
      <c r="AC475">
        <v>0</v>
      </c>
    </row>
    <row r="476" spans="27:29" x14ac:dyDescent="0.25">
      <c r="AA476">
        <v>0</v>
      </c>
      <c r="AB476">
        <v>0</v>
      </c>
      <c r="AC476">
        <v>0</v>
      </c>
    </row>
    <row r="477" spans="27:29" x14ac:dyDescent="0.25">
      <c r="AA477" t="b">
        <v>1</v>
      </c>
      <c r="AB477" t="str">
        <v>Poor Communication</v>
      </c>
      <c r="AC477">
        <v>100000</v>
      </c>
    </row>
    <row r="478" spans="27:29" x14ac:dyDescent="0.25">
      <c r="AA478" t="b">
        <v>1</v>
      </c>
      <c r="AB478" t="str">
        <v>Received</v>
      </c>
      <c r="AC478">
        <v>479100</v>
      </c>
    </row>
    <row r="479" spans="27:29" x14ac:dyDescent="0.25">
      <c r="AA479" t="b">
        <v>1</v>
      </c>
      <c r="AB479" t="str">
        <v>Delayed</v>
      </c>
      <c r="AC479">
        <v>286000</v>
      </c>
    </row>
    <row r="480" spans="27:29" x14ac:dyDescent="0.25">
      <c r="AA480" t="b">
        <v>1</v>
      </c>
      <c r="AB480" t="str">
        <v>Completion</v>
      </c>
      <c r="AC480">
        <v>263900</v>
      </c>
    </row>
    <row r="481" spans="27:29" x14ac:dyDescent="0.25">
      <c r="AA481" t="b">
        <v>1</v>
      </c>
      <c r="AB481" t="str">
        <v>Poor Communication</v>
      </c>
      <c r="AC481">
        <v>248800</v>
      </c>
    </row>
    <row r="482" spans="27:29" x14ac:dyDescent="0.25">
      <c r="AA482" t="b">
        <v>1</v>
      </c>
      <c r="AB482" t="str">
        <v>Received</v>
      </c>
      <c r="AC482">
        <v>258000</v>
      </c>
    </row>
    <row r="483" spans="27:29" x14ac:dyDescent="0.25">
      <c r="AA483" t="b">
        <v>1</v>
      </c>
      <c r="AB483" t="str">
        <v>Completion</v>
      </c>
      <c r="AC483">
        <v>260200</v>
      </c>
    </row>
    <row r="484" spans="27:29" x14ac:dyDescent="0.25">
      <c r="AA484" t="b">
        <v>0</v>
      </c>
      <c r="AB484" t="str">
        <v>Completion</v>
      </c>
      <c r="AC484">
        <v>169200</v>
      </c>
    </row>
    <row r="485" spans="27:29" x14ac:dyDescent="0.25">
      <c r="AA485" t="b">
        <v>0</v>
      </c>
      <c r="AB485" t="str">
        <v>Received</v>
      </c>
      <c r="AC485">
        <v>154600</v>
      </c>
    </row>
    <row r="486" spans="27:29" x14ac:dyDescent="0.25">
      <c r="AA486" t="b">
        <v>0</v>
      </c>
      <c r="AB486" t="str">
        <v>Received</v>
      </c>
      <c r="AC486">
        <v>25400</v>
      </c>
    </row>
    <row r="487" spans="27:29" x14ac:dyDescent="0.25">
      <c r="AA487" t="b">
        <v>0</v>
      </c>
      <c r="AB487" t="str">
        <v>Poor Communication</v>
      </c>
      <c r="AC487">
        <v>30800</v>
      </c>
    </row>
    <row r="488" spans="27:29" x14ac:dyDescent="0.25">
      <c r="AA488" t="b">
        <v>0</v>
      </c>
      <c r="AB488" t="str">
        <v>Completion</v>
      </c>
      <c r="AC488">
        <v>244000</v>
      </c>
    </row>
    <row r="489" spans="27:29" x14ac:dyDescent="0.25">
      <c r="AA489" t="b">
        <v>0</v>
      </c>
      <c r="AB489" t="str">
        <v>Completion</v>
      </c>
      <c r="AC489">
        <v>7800</v>
      </c>
    </row>
    <row r="490" spans="27:29" x14ac:dyDescent="0.25">
      <c r="AA490" t="b">
        <v>0</v>
      </c>
      <c r="AB490" t="str">
        <v>Received</v>
      </c>
      <c r="AC490">
        <v>8400</v>
      </c>
    </row>
    <row r="491" spans="27:29" x14ac:dyDescent="0.25">
      <c r="AA491" t="b">
        <v>0</v>
      </c>
      <c r="AB491" t="str">
        <v>Completion</v>
      </c>
      <c r="AC491">
        <v>99000</v>
      </c>
    </row>
    <row r="492" spans="27:29" x14ac:dyDescent="0.25">
      <c r="AA492" t="b">
        <v>0</v>
      </c>
      <c r="AB492" t="str">
        <v>Received</v>
      </c>
      <c r="AC492">
        <v>98000</v>
      </c>
    </row>
    <row r="493" spans="27:29" x14ac:dyDescent="0.25">
      <c r="AA493" t="b">
        <v>0</v>
      </c>
      <c r="AB493" t="str">
        <v>Completion</v>
      </c>
      <c r="AC493">
        <v>52100</v>
      </c>
    </row>
    <row r="494" spans="27:29" x14ac:dyDescent="0.25">
      <c r="AA494" t="b">
        <v>0</v>
      </c>
      <c r="AB494" t="str">
        <v>Completion</v>
      </c>
      <c r="AC494">
        <v>59600</v>
      </c>
    </row>
    <row r="495" spans="27:29" x14ac:dyDescent="0.25">
      <c r="AA495" t="b">
        <v>0</v>
      </c>
      <c r="AB495" t="str">
        <v>Delayed</v>
      </c>
      <c r="AC495">
        <v>47900</v>
      </c>
    </row>
    <row r="496" spans="27:29" x14ac:dyDescent="0.25">
      <c r="AA496" t="b">
        <v>0</v>
      </c>
      <c r="AB496" t="str">
        <v>Completion</v>
      </c>
      <c r="AC496">
        <v>7900</v>
      </c>
    </row>
    <row r="497" spans="27:29" x14ac:dyDescent="0.25">
      <c r="AA497" t="b">
        <v>0</v>
      </c>
      <c r="AB497" t="str">
        <v>Completion</v>
      </c>
      <c r="AC497">
        <v>89800</v>
      </c>
    </row>
    <row r="498" spans="27:29" x14ac:dyDescent="0.25">
      <c r="AA498" t="b">
        <v>0</v>
      </c>
      <c r="AB498" t="str">
        <v>Received</v>
      </c>
      <c r="AC498">
        <v>113700</v>
      </c>
    </row>
    <row r="499" spans="27:29" x14ac:dyDescent="0.25">
      <c r="AA499" t="b">
        <v>0</v>
      </c>
      <c r="AB499" t="str">
        <v>Received</v>
      </c>
      <c r="AC499">
        <v>104200</v>
      </c>
    </row>
    <row r="500" spans="27:29" x14ac:dyDescent="0.25">
      <c r="AA500" t="b">
        <v>0</v>
      </c>
      <c r="AB500" t="str">
        <v>Delayed</v>
      </c>
      <c r="AC500">
        <v>117400</v>
      </c>
    </row>
    <row r="501" spans="27:29" x14ac:dyDescent="0.25">
      <c r="AA501" t="b">
        <v>0</v>
      </c>
      <c r="AB501" t="str">
        <v>Completion</v>
      </c>
      <c r="AC501">
        <v>10100</v>
      </c>
    </row>
    <row r="502" spans="27:29" x14ac:dyDescent="0.25">
      <c r="AA502" t="b">
        <v>0</v>
      </c>
      <c r="AB502" t="str">
        <v>Received</v>
      </c>
      <c r="AC502">
        <v>44500</v>
      </c>
    </row>
    <row r="503" spans="27:29" x14ac:dyDescent="0.25">
      <c r="AA503" t="b">
        <v>0</v>
      </c>
      <c r="AB503" t="str">
        <v>Received</v>
      </c>
      <c r="AC503">
        <v>22300</v>
      </c>
    </row>
    <row r="504" spans="27:29" x14ac:dyDescent="0.25">
      <c r="AA504" t="b">
        <v>0</v>
      </c>
      <c r="AB504" t="str">
        <v>Completion</v>
      </c>
      <c r="AC504">
        <v>23500</v>
      </c>
    </row>
    <row r="505" spans="27:29" x14ac:dyDescent="0.25">
      <c r="AA505" t="b">
        <v>0</v>
      </c>
      <c r="AB505" t="str">
        <v>Completion</v>
      </c>
      <c r="AC505">
        <v>41300</v>
      </c>
    </row>
    <row r="506" spans="27:29" x14ac:dyDescent="0.25">
      <c r="AA506" t="b">
        <v>0</v>
      </c>
      <c r="AB506" t="str">
        <v>Delayed</v>
      </c>
      <c r="AC506">
        <v>33900</v>
      </c>
    </row>
    <row r="507" spans="27:29" x14ac:dyDescent="0.25">
      <c r="AA507" t="b">
        <v>0</v>
      </c>
      <c r="AB507" t="str">
        <v>Completion</v>
      </c>
      <c r="AC507">
        <v>1400</v>
      </c>
    </row>
    <row r="508" spans="27:29" x14ac:dyDescent="0.25">
      <c r="AA508" t="b">
        <v>0</v>
      </c>
      <c r="AB508" t="str">
        <v>Received</v>
      </c>
      <c r="AC508">
        <v>13700</v>
      </c>
    </row>
    <row r="509" spans="27:29" x14ac:dyDescent="0.25">
      <c r="AA509" t="b">
        <v>0</v>
      </c>
      <c r="AB509" t="str">
        <v>Received</v>
      </c>
      <c r="AC509">
        <v>8300</v>
      </c>
    </row>
    <row r="510" spans="27:29" x14ac:dyDescent="0.25">
      <c r="AA510" t="b">
        <v>0</v>
      </c>
      <c r="AB510" t="str">
        <v>Received</v>
      </c>
      <c r="AC510">
        <v>160200</v>
      </c>
    </row>
    <row r="511" spans="27:29" x14ac:dyDescent="0.25">
      <c r="AA511" t="b">
        <v>0</v>
      </c>
      <c r="AB511" t="str">
        <v>Received</v>
      </c>
      <c r="AC511">
        <v>30600</v>
      </c>
    </row>
    <row r="512" spans="27:29" x14ac:dyDescent="0.25">
      <c r="AA512" t="b">
        <v>0</v>
      </c>
      <c r="AB512" t="str">
        <v>Received</v>
      </c>
      <c r="AC512">
        <v>89800</v>
      </c>
    </row>
    <row r="513" spans="27:29" x14ac:dyDescent="0.25">
      <c r="AA513" t="b">
        <v>0</v>
      </c>
      <c r="AB513" t="str">
        <v>Completion</v>
      </c>
      <c r="AC513">
        <v>31800</v>
      </c>
    </row>
    <row r="514" spans="27:29" x14ac:dyDescent="0.25">
      <c r="AA514" t="b">
        <v>0</v>
      </c>
      <c r="AB514" t="str">
        <v>Received</v>
      </c>
      <c r="AC514">
        <v>69900</v>
      </c>
    </row>
    <row r="515" spans="27:29" x14ac:dyDescent="0.25">
      <c r="AA515" t="b">
        <v>0</v>
      </c>
      <c r="AB515" t="str">
        <v>Received</v>
      </c>
      <c r="AC515">
        <v>17700</v>
      </c>
    </row>
    <row r="516" spans="27:29" x14ac:dyDescent="0.25">
      <c r="AA516" t="b">
        <v>0</v>
      </c>
      <c r="AB516" t="str">
        <v>Delayed</v>
      </c>
      <c r="AC516">
        <v>4800</v>
      </c>
    </row>
    <row r="517" spans="27:29" x14ac:dyDescent="0.25">
      <c r="AA517" t="b">
        <v>0</v>
      </c>
      <c r="AB517" t="str">
        <v>Completion</v>
      </c>
      <c r="AC517">
        <v>23700</v>
      </c>
    </row>
    <row r="518" spans="27:29" x14ac:dyDescent="0.25">
      <c r="AA518" t="b">
        <v>0</v>
      </c>
      <c r="AB518" t="str">
        <v>Poor Communication</v>
      </c>
      <c r="AC518">
        <v>120300</v>
      </c>
    </row>
    <row r="519" spans="27:29" x14ac:dyDescent="0.25">
      <c r="AA519" t="b">
        <v>0</v>
      </c>
      <c r="AB519" t="str">
        <v>Poor Communication</v>
      </c>
      <c r="AC519">
        <v>4600</v>
      </c>
    </row>
    <row r="520" spans="27:29" x14ac:dyDescent="0.25">
      <c r="AA520" t="b">
        <v>0</v>
      </c>
      <c r="AB520" t="str">
        <v>Completion</v>
      </c>
      <c r="AC520">
        <v>22500</v>
      </c>
    </row>
    <row r="521" spans="27:29" x14ac:dyDescent="0.25">
      <c r="AA521" t="b">
        <v>0</v>
      </c>
      <c r="AB521" t="str">
        <v>Completion</v>
      </c>
      <c r="AC521">
        <v>24200</v>
      </c>
    </row>
    <row r="522" spans="27:29" x14ac:dyDescent="0.25">
      <c r="AA522" t="b">
        <v>0</v>
      </c>
      <c r="AB522" t="str">
        <v>Received</v>
      </c>
      <c r="AC522">
        <v>54200</v>
      </c>
    </row>
    <row r="523" spans="27:29" x14ac:dyDescent="0.25">
      <c r="AA523" t="b">
        <v>0</v>
      </c>
      <c r="AB523" t="str">
        <v>Received</v>
      </c>
      <c r="AC523">
        <v>30800</v>
      </c>
    </row>
    <row r="524" spans="27:29" x14ac:dyDescent="0.25">
      <c r="AA524" t="b">
        <v>0</v>
      </c>
      <c r="AB524" t="str">
        <v>Poor Communication</v>
      </c>
      <c r="AC524">
        <v>98500</v>
      </c>
    </row>
    <row r="525" spans="27:29" x14ac:dyDescent="0.25">
      <c r="AA525" t="b">
        <v>0</v>
      </c>
      <c r="AB525" t="str">
        <v>Received</v>
      </c>
      <c r="AC525">
        <v>82200</v>
      </c>
    </row>
    <row r="526" spans="27:29" x14ac:dyDescent="0.25">
      <c r="AA526" t="b">
        <v>0</v>
      </c>
      <c r="AB526" t="str">
        <v>Delayed</v>
      </c>
      <c r="AC526">
        <v>79600</v>
      </c>
    </row>
    <row r="527" spans="27:29" x14ac:dyDescent="0.25">
      <c r="AA527" t="b">
        <v>0</v>
      </c>
      <c r="AB527" t="str">
        <v>Completion</v>
      </c>
      <c r="AC527">
        <v>33200</v>
      </c>
    </row>
    <row r="528" spans="27:29" x14ac:dyDescent="0.25">
      <c r="AA528" t="b">
        <v>0</v>
      </c>
      <c r="AB528" t="str">
        <v>Completion</v>
      </c>
      <c r="AC528">
        <v>4300</v>
      </c>
    </row>
    <row r="529" spans="27:29" x14ac:dyDescent="0.25">
      <c r="AA529" t="b">
        <v>0</v>
      </c>
      <c r="AB529" t="str">
        <v>Poor Communication</v>
      </c>
      <c r="AC529">
        <v>7800</v>
      </c>
    </row>
    <row r="530" spans="27:29" x14ac:dyDescent="0.25">
      <c r="AA530">
        <v>0</v>
      </c>
      <c r="AB530">
        <v>0</v>
      </c>
      <c r="AC530">
        <v>0</v>
      </c>
    </row>
    <row r="531" spans="27:29" x14ac:dyDescent="0.25">
      <c r="AA531">
        <v>0</v>
      </c>
      <c r="AB531">
        <v>0</v>
      </c>
      <c r="AC531">
        <v>0</v>
      </c>
    </row>
    <row r="532" spans="27:29" x14ac:dyDescent="0.25">
      <c r="AA532">
        <v>0</v>
      </c>
      <c r="AB532">
        <v>0</v>
      </c>
      <c r="AC532">
        <v>0</v>
      </c>
    </row>
    <row r="533" spans="27:29" x14ac:dyDescent="0.25">
      <c r="AA533">
        <v>0</v>
      </c>
      <c r="AB533">
        <v>0</v>
      </c>
      <c r="AC533">
        <v>0</v>
      </c>
    </row>
    <row r="534" spans="27:29" x14ac:dyDescent="0.25">
      <c r="AA534">
        <v>0</v>
      </c>
      <c r="AB534">
        <v>0</v>
      </c>
      <c r="AC534">
        <v>0</v>
      </c>
    </row>
    <row r="535" spans="27:29" x14ac:dyDescent="0.25">
      <c r="AA535">
        <v>0</v>
      </c>
      <c r="AB535">
        <v>0</v>
      </c>
      <c r="AC535">
        <v>0</v>
      </c>
    </row>
    <row r="536" spans="27:29" x14ac:dyDescent="0.25">
      <c r="AA536">
        <v>0</v>
      </c>
      <c r="AB536">
        <v>0</v>
      </c>
      <c r="AC536">
        <v>0</v>
      </c>
    </row>
    <row r="537" spans="27:29" x14ac:dyDescent="0.25">
      <c r="AA537">
        <v>0</v>
      </c>
      <c r="AB537">
        <v>0</v>
      </c>
      <c r="AC537">
        <v>0</v>
      </c>
    </row>
    <row r="538" spans="27:29" x14ac:dyDescent="0.25">
      <c r="AA538">
        <v>0</v>
      </c>
      <c r="AB538">
        <v>0</v>
      </c>
      <c r="AC538">
        <v>0</v>
      </c>
    </row>
    <row r="539" spans="27:29" x14ac:dyDescent="0.25">
      <c r="AA539">
        <v>0</v>
      </c>
      <c r="AB539">
        <v>0</v>
      </c>
      <c r="AC539">
        <v>0</v>
      </c>
    </row>
    <row r="540" spans="27:29" x14ac:dyDescent="0.25">
      <c r="AA540">
        <v>0</v>
      </c>
      <c r="AB540">
        <v>0</v>
      </c>
      <c r="AC540">
        <v>0</v>
      </c>
    </row>
    <row r="541" spans="27:29" x14ac:dyDescent="0.25">
      <c r="AA541">
        <v>0</v>
      </c>
      <c r="AB541">
        <v>0</v>
      </c>
      <c r="AC541">
        <v>0</v>
      </c>
    </row>
    <row r="542" spans="27:29" x14ac:dyDescent="0.25">
      <c r="AA542">
        <v>0</v>
      </c>
      <c r="AB542">
        <v>0</v>
      </c>
      <c r="AC542">
        <v>0</v>
      </c>
    </row>
    <row r="543" spans="27:29" x14ac:dyDescent="0.25">
      <c r="AA543">
        <v>0</v>
      </c>
      <c r="AB543">
        <v>0</v>
      </c>
      <c r="AC543">
        <v>0</v>
      </c>
    </row>
    <row r="544" spans="27:29" x14ac:dyDescent="0.25">
      <c r="AA544">
        <v>0</v>
      </c>
      <c r="AB544">
        <v>0</v>
      </c>
      <c r="AC544">
        <v>0</v>
      </c>
    </row>
    <row r="545" spans="27:29" x14ac:dyDescent="0.25">
      <c r="AA545">
        <v>0</v>
      </c>
      <c r="AB545">
        <v>0</v>
      </c>
      <c r="AC545">
        <v>0</v>
      </c>
    </row>
    <row r="546" spans="27:29" x14ac:dyDescent="0.25">
      <c r="AA546">
        <v>0</v>
      </c>
      <c r="AB546">
        <v>0</v>
      </c>
      <c r="AC546">
        <v>0</v>
      </c>
    </row>
    <row r="547" spans="27:29" x14ac:dyDescent="0.25">
      <c r="AA547">
        <v>0</v>
      </c>
      <c r="AB547">
        <v>0</v>
      </c>
      <c r="AC547">
        <v>0</v>
      </c>
    </row>
    <row r="548" spans="27:29" x14ac:dyDescent="0.25">
      <c r="AA548">
        <v>0</v>
      </c>
      <c r="AB548">
        <v>0</v>
      </c>
      <c r="AC548">
        <v>0</v>
      </c>
    </row>
    <row r="549" spans="27:29" x14ac:dyDescent="0.25">
      <c r="AA549">
        <v>0</v>
      </c>
      <c r="AB549">
        <v>0</v>
      </c>
      <c r="AC549">
        <v>0</v>
      </c>
    </row>
    <row r="550" spans="27:29" x14ac:dyDescent="0.25">
      <c r="AA550">
        <v>0</v>
      </c>
      <c r="AB550">
        <v>0</v>
      </c>
      <c r="AC550">
        <v>0</v>
      </c>
    </row>
    <row r="551" spans="27:29" x14ac:dyDescent="0.25">
      <c r="AA551">
        <v>0</v>
      </c>
      <c r="AB551">
        <v>0</v>
      </c>
      <c r="AC551">
        <v>0</v>
      </c>
    </row>
    <row r="552" spans="27:29" x14ac:dyDescent="0.25">
      <c r="AA552">
        <v>0</v>
      </c>
      <c r="AB552">
        <v>0</v>
      </c>
      <c r="AC552">
        <v>0</v>
      </c>
    </row>
    <row r="553" spans="27:29" x14ac:dyDescent="0.25">
      <c r="AA553">
        <v>0</v>
      </c>
      <c r="AB553">
        <v>0</v>
      </c>
      <c r="AC553">
        <v>0</v>
      </c>
    </row>
    <row r="554" spans="27:29" x14ac:dyDescent="0.25">
      <c r="AA554">
        <v>0</v>
      </c>
      <c r="AB554">
        <v>0</v>
      </c>
      <c r="AC554">
        <v>0</v>
      </c>
    </row>
    <row r="555" spans="27:29" x14ac:dyDescent="0.25">
      <c r="AA555">
        <v>0</v>
      </c>
      <c r="AB555">
        <v>0</v>
      </c>
      <c r="AC555">
        <v>0</v>
      </c>
    </row>
    <row r="556" spans="27:29" x14ac:dyDescent="0.25">
      <c r="AA556">
        <v>0</v>
      </c>
      <c r="AB556">
        <v>0</v>
      </c>
      <c r="AC556">
        <v>0</v>
      </c>
    </row>
    <row r="557" spans="27:29" x14ac:dyDescent="0.25">
      <c r="AA557">
        <v>0</v>
      </c>
      <c r="AB557">
        <v>0</v>
      </c>
      <c r="AC557">
        <v>0</v>
      </c>
    </row>
    <row r="558" spans="27:29" x14ac:dyDescent="0.25">
      <c r="AA558">
        <v>0</v>
      </c>
      <c r="AB558">
        <v>0</v>
      </c>
      <c r="AC558">
        <v>0</v>
      </c>
    </row>
    <row r="559" spans="27:29" x14ac:dyDescent="0.25">
      <c r="AA559">
        <v>0</v>
      </c>
      <c r="AB559">
        <v>0</v>
      </c>
      <c r="AC559">
        <v>0</v>
      </c>
    </row>
    <row r="560" spans="27:29" x14ac:dyDescent="0.25">
      <c r="AA560">
        <v>0</v>
      </c>
      <c r="AB560">
        <v>0</v>
      </c>
      <c r="AC560">
        <v>0</v>
      </c>
    </row>
    <row r="561" spans="27:29" x14ac:dyDescent="0.25">
      <c r="AA561">
        <v>0</v>
      </c>
      <c r="AB561">
        <v>0</v>
      </c>
      <c r="AC561">
        <v>0</v>
      </c>
    </row>
    <row r="562" spans="27:29" x14ac:dyDescent="0.25">
      <c r="AA562">
        <v>0</v>
      </c>
      <c r="AB562">
        <v>0</v>
      </c>
      <c r="AC562">
        <v>0</v>
      </c>
    </row>
    <row r="563" spans="27:29" x14ac:dyDescent="0.25">
      <c r="AA563">
        <v>0</v>
      </c>
      <c r="AB563">
        <v>0</v>
      </c>
      <c r="AC563">
        <v>0</v>
      </c>
    </row>
    <row r="564" spans="27:29" x14ac:dyDescent="0.25">
      <c r="AA564">
        <v>0</v>
      </c>
      <c r="AB564">
        <v>0</v>
      </c>
      <c r="AC564">
        <v>0</v>
      </c>
    </row>
    <row r="565" spans="27:29" x14ac:dyDescent="0.25">
      <c r="AA565">
        <v>0</v>
      </c>
      <c r="AB565">
        <v>0</v>
      </c>
      <c r="AC565">
        <v>0</v>
      </c>
    </row>
    <row r="566" spans="27:29" x14ac:dyDescent="0.25">
      <c r="AA566">
        <v>0</v>
      </c>
      <c r="AB566">
        <v>0</v>
      </c>
      <c r="AC566">
        <v>0</v>
      </c>
    </row>
    <row r="567" spans="27:29" x14ac:dyDescent="0.25">
      <c r="AA567">
        <v>0</v>
      </c>
      <c r="AB567">
        <v>0</v>
      </c>
      <c r="AC567">
        <v>0</v>
      </c>
    </row>
    <row r="568" spans="27:29" x14ac:dyDescent="0.25">
      <c r="AA568">
        <v>0</v>
      </c>
      <c r="AB568">
        <v>0</v>
      </c>
      <c r="AC568">
        <v>0</v>
      </c>
    </row>
    <row r="569" spans="27:29" x14ac:dyDescent="0.25">
      <c r="AA569">
        <v>0</v>
      </c>
      <c r="AB569">
        <v>0</v>
      </c>
      <c r="AC569">
        <v>0</v>
      </c>
    </row>
    <row r="570" spans="27:29" x14ac:dyDescent="0.25">
      <c r="AA570">
        <v>0</v>
      </c>
      <c r="AB570">
        <v>0</v>
      </c>
      <c r="AC570">
        <v>0</v>
      </c>
    </row>
    <row r="571" spans="27:29" x14ac:dyDescent="0.25">
      <c r="AA571">
        <v>0</v>
      </c>
      <c r="AB571">
        <v>0</v>
      </c>
      <c r="AC571">
        <v>0</v>
      </c>
    </row>
    <row r="572" spans="27:29" x14ac:dyDescent="0.25">
      <c r="AA572" t="b">
        <v>1</v>
      </c>
      <c r="AB572" t="str">
        <v>Received</v>
      </c>
      <c r="AC572">
        <v>460900</v>
      </c>
    </row>
    <row r="573" spans="27:29" x14ac:dyDescent="0.25">
      <c r="AA573" t="b">
        <v>1</v>
      </c>
      <c r="AB573" t="str">
        <v>Received</v>
      </c>
      <c r="AC573">
        <v>452800</v>
      </c>
    </row>
    <row r="574" spans="27:29" x14ac:dyDescent="0.25">
      <c r="AA574" t="b">
        <v>1</v>
      </c>
      <c r="AB574" t="str">
        <v>Completion</v>
      </c>
      <c r="AC574">
        <v>155500</v>
      </c>
    </row>
    <row r="575" spans="27:29" x14ac:dyDescent="0.25">
      <c r="AA575" t="b">
        <v>1</v>
      </c>
      <c r="AB575" t="str">
        <v>Received</v>
      </c>
      <c r="AC575">
        <v>430300</v>
      </c>
    </row>
    <row r="576" spans="27:29" x14ac:dyDescent="0.25">
      <c r="AA576" t="b">
        <v>1</v>
      </c>
      <c r="AB576" t="str">
        <v>Received</v>
      </c>
      <c r="AC576">
        <v>297000</v>
      </c>
    </row>
    <row r="577" spans="27:29" x14ac:dyDescent="0.25">
      <c r="AA577" t="b">
        <v>1</v>
      </c>
      <c r="AB577" t="str">
        <v>Poor Communication</v>
      </c>
      <c r="AC577">
        <v>226800</v>
      </c>
    </row>
    <row r="578" spans="27:29" x14ac:dyDescent="0.25">
      <c r="AA578" t="b">
        <v>1</v>
      </c>
      <c r="AB578" t="str">
        <v>Delayed</v>
      </c>
      <c r="AC578">
        <v>224700</v>
      </c>
    </row>
    <row r="579" spans="27:29" x14ac:dyDescent="0.25">
      <c r="AA579" t="b">
        <v>0</v>
      </c>
      <c r="AB579" t="str">
        <v>Poor Communication</v>
      </c>
      <c r="AC579">
        <v>10100</v>
      </c>
    </row>
    <row r="580" spans="27:29" x14ac:dyDescent="0.25">
      <c r="AA580" t="b">
        <v>0</v>
      </c>
      <c r="AB580" t="str">
        <v>Delayed</v>
      </c>
      <c r="AC580">
        <v>225600</v>
      </c>
    </row>
    <row r="581" spans="27:29" x14ac:dyDescent="0.25">
      <c r="AA581" t="b">
        <v>0</v>
      </c>
      <c r="AB581" t="str">
        <v>Completion</v>
      </c>
      <c r="AC581">
        <v>94600</v>
      </c>
    </row>
    <row r="582" spans="27:29" x14ac:dyDescent="0.25">
      <c r="AA582" t="b">
        <v>0</v>
      </c>
      <c r="AB582" t="str">
        <v>Received</v>
      </c>
      <c r="AC582">
        <v>76200</v>
      </c>
    </row>
    <row r="583" spans="27:29" x14ac:dyDescent="0.25">
      <c r="AA583" t="b">
        <v>0</v>
      </c>
      <c r="AB583" t="str">
        <v>Completion</v>
      </c>
      <c r="AC583">
        <v>91600</v>
      </c>
    </row>
    <row r="584" spans="27:29" x14ac:dyDescent="0.25">
      <c r="AA584" t="b">
        <v>0</v>
      </c>
      <c r="AB584" t="str">
        <v>Received</v>
      </c>
      <c r="AC584">
        <v>13200</v>
      </c>
    </row>
    <row r="585" spans="27:29" x14ac:dyDescent="0.25">
      <c r="AA585" t="b">
        <v>0</v>
      </c>
      <c r="AB585" t="str">
        <v>Delayed</v>
      </c>
      <c r="AC585">
        <v>6600</v>
      </c>
    </row>
    <row r="586" spans="27:29" x14ac:dyDescent="0.25">
      <c r="AA586" t="b">
        <v>0</v>
      </c>
      <c r="AB586" t="str">
        <v>Completion</v>
      </c>
      <c r="AC586">
        <v>88400</v>
      </c>
    </row>
    <row r="587" spans="27:29" x14ac:dyDescent="0.25">
      <c r="AA587" t="b">
        <v>0</v>
      </c>
      <c r="AB587" t="str">
        <v>Completion</v>
      </c>
      <c r="AC587">
        <v>8000</v>
      </c>
    </row>
    <row r="588" spans="27:29" x14ac:dyDescent="0.25">
      <c r="AA588" t="b">
        <v>0</v>
      </c>
      <c r="AB588" t="str">
        <v>Received</v>
      </c>
      <c r="AC588">
        <v>104200</v>
      </c>
    </row>
    <row r="589" spans="27:29" x14ac:dyDescent="0.25">
      <c r="AA589" t="b">
        <v>0</v>
      </c>
      <c r="AB589" t="str">
        <v>Completion</v>
      </c>
      <c r="AC589">
        <v>9500</v>
      </c>
    </row>
    <row r="590" spans="27:29" x14ac:dyDescent="0.25">
      <c r="AA590" t="b">
        <v>0</v>
      </c>
      <c r="AB590" t="str">
        <v>Poor Communication</v>
      </c>
      <c r="AC590">
        <v>109500</v>
      </c>
    </row>
    <row r="591" spans="27:29" x14ac:dyDescent="0.25">
      <c r="AA591" t="b">
        <v>0</v>
      </c>
      <c r="AB591" t="str">
        <v>Completion</v>
      </c>
      <c r="AC591">
        <v>5400</v>
      </c>
    </row>
    <row r="592" spans="27:29" x14ac:dyDescent="0.25">
      <c r="AA592" t="b">
        <v>0</v>
      </c>
      <c r="AB592" t="str">
        <v>Completion</v>
      </c>
      <c r="AC592">
        <v>45600</v>
      </c>
    </row>
    <row r="593" spans="27:29" x14ac:dyDescent="0.25">
      <c r="AA593" t="b">
        <v>0</v>
      </c>
      <c r="AB593" t="str">
        <v>Delayed</v>
      </c>
      <c r="AC593">
        <v>13800</v>
      </c>
    </row>
    <row r="594" spans="27:29" x14ac:dyDescent="0.25">
      <c r="AA594" t="b">
        <v>0</v>
      </c>
      <c r="AB594" t="str">
        <v>Received</v>
      </c>
      <c r="AC594">
        <v>20400</v>
      </c>
    </row>
    <row r="595" spans="27:29" x14ac:dyDescent="0.25">
      <c r="AA595" t="b">
        <v>0</v>
      </c>
      <c r="AB595" t="str">
        <v>Poor Communication</v>
      </c>
      <c r="AC595">
        <v>79400</v>
      </c>
    </row>
    <row r="596" spans="27:29" x14ac:dyDescent="0.25">
      <c r="AA596" t="b">
        <v>0</v>
      </c>
      <c r="AB596" t="str">
        <v>Delayed</v>
      </c>
      <c r="AC596">
        <v>35600</v>
      </c>
    </row>
    <row r="597" spans="27:29" x14ac:dyDescent="0.25">
      <c r="AA597" t="b">
        <v>0</v>
      </c>
      <c r="AB597" t="str">
        <v>Completion</v>
      </c>
      <c r="AC597">
        <v>89500</v>
      </c>
    </row>
    <row r="598" spans="27:29" x14ac:dyDescent="0.25">
      <c r="AA598" t="b">
        <v>0</v>
      </c>
      <c r="AB598" t="str">
        <v>Delayed</v>
      </c>
      <c r="AC598">
        <v>35600</v>
      </c>
    </row>
    <row r="599" spans="27:29" x14ac:dyDescent="0.25">
      <c r="AA599" t="b">
        <v>0</v>
      </c>
      <c r="AB599" t="str">
        <v>Completion</v>
      </c>
      <c r="AC599">
        <v>27600</v>
      </c>
    </row>
    <row r="600" spans="27:29" x14ac:dyDescent="0.25">
      <c r="AA600" t="b">
        <v>0</v>
      </c>
      <c r="AB600" t="str">
        <v>Poor Communication</v>
      </c>
      <c r="AC600">
        <v>70800</v>
      </c>
    </row>
    <row r="601" spans="27:29" x14ac:dyDescent="0.25">
      <c r="AA601" t="b">
        <v>0</v>
      </c>
      <c r="AB601" t="str">
        <v>Delayed</v>
      </c>
      <c r="AC601">
        <v>11000</v>
      </c>
    </row>
    <row r="602" spans="27:29" x14ac:dyDescent="0.25">
      <c r="AA602" t="b">
        <v>0</v>
      </c>
      <c r="AB602" t="str">
        <v>Completion</v>
      </c>
      <c r="AC602">
        <v>8400</v>
      </c>
    </row>
    <row r="603" spans="27:29" x14ac:dyDescent="0.25">
      <c r="AA603" t="b">
        <v>0</v>
      </c>
      <c r="AB603" t="str">
        <v>Received</v>
      </c>
      <c r="AC603">
        <v>17700</v>
      </c>
    </row>
    <row r="604" spans="27:29" x14ac:dyDescent="0.25">
      <c r="AA604" t="b">
        <v>0</v>
      </c>
      <c r="AB604" t="str">
        <v>Received</v>
      </c>
      <c r="AC604">
        <v>66600</v>
      </c>
    </row>
    <row r="605" spans="27:29" x14ac:dyDescent="0.25">
      <c r="AA605" t="b">
        <v>0</v>
      </c>
      <c r="AB605" t="str">
        <v>Completion</v>
      </c>
      <c r="AC605">
        <v>73900</v>
      </c>
    </row>
    <row r="606" spans="27:29" x14ac:dyDescent="0.25">
      <c r="AA606" t="b">
        <v>0</v>
      </c>
      <c r="AB606" t="str">
        <v>Delayed</v>
      </c>
      <c r="AC606">
        <v>38600</v>
      </c>
    </row>
    <row r="607" spans="27:29" x14ac:dyDescent="0.25">
      <c r="AA607" t="b">
        <v>0</v>
      </c>
      <c r="AB607" t="str">
        <v>Completion</v>
      </c>
      <c r="AC607">
        <v>2000</v>
      </c>
    </row>
    <row r="608" spans="27:29" x14ac:dyDescent="0.25">
      <c r="AA608" t="b">
        <v>0</v>
      </c>
      <c r="AB608" t="str">
        <v>Delayed</v>
      </c>
      <c r="AC608">
        <v>71800</v>
      </c>
    </row>
    <row r="609" spans="27:29" x14ac:dyDescent="0.25">
      <c r="AA609" t="b">
        <v>0</v>
      </c>
      <c r="AB609" t="str">
        <v>Received</v>
      </c>
      <c r="AC609">
        <v>36600</v>
      </c>
    </row>
    <row r="610" spans="27:29" x14ac:dyDescent="0.25">
      <c r="AA610" t="b">
        <v>0</v>
      </c>
      <c r="AB610" t="str">
        <v>Received</v>
      </c>
      <c r="AC610">
        <v>2300</v>
      </c>
    </row>
    <row r="611" spans="27:29" x14ac:dyDescent="0.25">
      <c r="AA611" t="b">
        <v>0</v>
      </c>
      <c r="AB611" t="str">
        <v>Received</v>
      </c>
      <c r="AC611">
        <v>14000</v>
      </c>
    </row>
    <row r="612" spans="27:29" x14ac:dyDescent="0.25">
      <c r="AA612" t="b">
        <v>0</v>
      </c>
      <c r="AB612" t="str">
        <v>Poor Communication</v>
      </c>
      <c r="AC612">
        <v>34300</v>
      </c>
    </row>
    <row r="613" spans="27:29" x14ac:dyDescent="0.25">
      <c r="AA613" t="b">
        <v>0</v>
      </c>
      <c r="AB613" t="str">
        <v>Completion</v>
      </c>
      <c r="AC613">
        <v>91500</v>
      </c>
    </row>
    <row r="614" spans="27:29" x14ac:dyDescent="0.25">
      <c r="AA614" t="b">
        <v>0</v>
      </c>
      <c r="AB614" t="str">
        <v>Completion</v>
      </c>
      <c r="AC614">
        <v>36700</v>
      </c>
    </row>
    <row r="615" spans="27:29" x14ac:dyDescent="0.25">
      <c r="AA615" t="b">
        <v>0</v>
      </c>
      <c r="AB615" t="str">
        <v>Poor Communication</v>
      </c>
      <c r="AC615">
        <v>43600</v>
      </c>
    </row>
    <row r="616" spans="27:29" x14ac:dyDescent="0.25">
      <c r="AA616" t="b">
        <v>0</v>
      </c>
      <c r="AB616" t="str">
        <v>Received</v>
      </c>
      <c r="AC616">
        <v>30300</v>
      </c>
    </row>
    <row r="617" spans="27:29" x14ac:dyDescent="0.25">
      <c r="AA617" t="b">
        <v>0</v>
      </c>
      <c r="AB617" t="str">
        <v>Delayed</v>
      </c>
      <c r="AC617">
        <v>3700</v>
      </c>
    </row>
    <row r="618" spans="27:29" x14ac:dyDescent="0.25">
      <c r="AA618" t="b">
        <v>0</v>
      </c>
      <c r="AB618" t="str">
        <v>Poor Communication</v>
      </c>
      <c r="AC618">
        <v>62100</v>
      </c>
    </row>
    <row r="619" spans="27:29" x14ac:dyDescent="0.25">
      <c r="AA619" t="b">
        <v>0</v>
      </c>
      <c r="AB619" t="str">
        <v>Received</v>
      </c>
      <c r="AC619">
        <v>39500</v>
      </c>
    </row>
    <row r="620" spans="27:29" x14ac:dyDescent="0.25">
      <c r="AA620" t="b">
        <v>0</v>
      </c>
      <c r="AB620" t="str">
        <v>Received</v>
      </c>
      <c r="AC620">
        <v>30800</v>
      </c>
    </row>
    <row r="621" spans="27:29" x14ac:dyDescent="0.25">
      <c r="AA621" t="b">
        <v>0</v>
      </c>
      <c r="AB621" t="str">
        <v>Received</v>
      </c>
      <c r="AC621">
        <v>32000</v>
      </c>
    </row>
    <row r="622" spans="27:29" x14ac:dyDescent="0.25">
      <c r="AA622" t="b">
        <v>0</v>
      </c>
      <c r="AB622" t="str">
        <v>Received</v>
      </c>
      <c r="AC622">
        <v>14100</v>
      </c>
    </row>
    <row r="623" spans="27:29" x14ac:dyDescent="0.25">
      <c r="AA623" t="b">
        <v>0</v>
      </c>
      <c r="AB623" t="str">
        <v>Received</v>
      </c>
      <c r="AC623">
        <v>39100</v>
      </c>
    </row>
    <row r="624" spans="27:29" x14ac:dyDescent="0.25">
      <c r="AA624">
        <v>0</v>
      </c>
      <c r="AB624">
        <v>0</v>
      </c>
      <c r="AC624">
        <v>0</v>
      </c>
    </row>
    <row r="625" spans="27:29" x14ac:dyDescent="0.25">
      <c r="AA625">
        <v>0</v>
      </c>
      <c r="AB625">
        <v>0</v>
      </c>
      <c r="AC625">
        <v>0</v>
      </c>
    </row>
    <row r="626" spans="27:29" x14ac:dyDescent="0.25">
      <c r="AA626">
        <v>0</v>
      </c>
      <c r="AB626">
        <v>0</v>
      </c>
      <c r="AC626">
        <v>0</v>
      </c>
    </row>
    <row r="627" spans="27:29" x14ac:dyDescent="0.25">
      <c r="AA627">
        <v>0</v>
      </c>
      <c r="AB627">
        <v>0</v>
      </c>
      <c r="AC627">
        <v>0</v>
      </c>
    </row>
    <row r="628" spans="27:29" x14ac:dyDescent="0.25">
      <c r="AA628">
        <v>0</v>
      </c>
      <c r="AB628">
        <v>0</v>
      </c>
      <c r="AC628">
        <v>0</v>
      </c>
    </row>
    <row r="629" spans="27:29" x14ac:dyDescent="0.25">
      <c r="AA629">
        <v>0</v>
      </c>
      <c r="AB629">
        <v>0</v>
      </c>
      <c r="AC629">
        <v>0</v>
      </c>
    </row>
    <row r="630" spans="27:29" x14ac:dyDescent="0.25">
      <c r="AA630">
        <v>0</v>
      </c>
      <c r="AB630">
        <v>0</v>
      </c>
      <c r="AC630">
        <v>0</v>
      </c>
    </row>
    <row r="631" spans="27:29" x14ac:dyDescent="0.25">
      <c r="AA631">
        <v>0</v>
      </c>
      <c r="AB631">
        <v>0</v>
      </c>
      <c r="AC631">
        <v>0</v>
      </c>
    </row>
    <row r="632" spans="27:29" x14ac:dyDescent="0.25">
      <c r="AA632">
        <v>0</v>
      </c>
      <c r="AB632">
        <v>0</v>
      </c>
      <c r="AC632">
        <v>0</v>
      </c>
    </row>
    <row r="633" spans="27:29" x14ac:dyDescent="0.25">
      <c r="AA633">
        <v>0</v>
      </c>
      <c r="AB633">
        <v>0</v>
      </c>
      <c r="AC633">
        <v>0</v>
      </c>
    </row>
    <row r="634" spans="27:29" x14ac:dyDescent="0.25">
      <c r="AA634">
        <v>0</v>
      </c>
      <c r="AB634">
        <v>0</v>
      </c>
      <c r="AC634">
        <v>0</v>
      </c>
    </row>
    <row r="635" spans="27:29" x14ac:dyDescent="0.25">
      <c r="AA635">
        <v>0</v>
      </c>
      <c r="AB635">
        <v>0</v>
      </c>
      <c r="AC635">
        <v>0</v>
      </c>
    </row>
    <row r="636" spans="27:29" x14ac:dyDescent="0.25">
      <c r="AA636">
        <v>0</v>
      </c>
      <c r="AB636">
        <v>0</v>
      </c>
      <c r="AC636">
        <v>0</v>
      </c>
    </row>
    <row r="637" spans="27:29" x14ac:dyDescent="0.25">
      <c r="AA637">
        <v>0</v>
      </c>
      <c r="AB637">
        <v>0</v>
      </c>
      <c r="AC637">
        <v>0</v>
      </c>
    </row>
    <row r="638" spans="27:29" x14ac:dyDescent="0.25">
      <c r="AA638">
        <v>0</v>
      </c>
      <c r="AB638">
        <v>0</v>
      </c>
      <c r="AC638">
        <v>0</v>
      </c>
    </row>
    <row r="639" spans="27:29" x14ac:dyDescent="0.25">
      <c r="AA639">
        <v>0</v>
      </c>
      <c r="AB639">
        <v>0</v>
      </c>
      <c r="AC639">
        <v>0</v>
      </c>
    </row>
    <row r="640" spans="27:29" x14ac:dyDescent="0.25">
      <c r="AA640">
        <v>0</v>
      </c>
      <c r="AB640">
        <v>0</v>
      </c>
      <c r="AC640">
        <v>0</v>
      </c>
    </row>
    <row r="641" spans="27:29" x14ac:dyDescent="0.25">
      <c r="AA641">
        <v>0</v>
      </c>
      <c r="AB641">
        <v>0</v>
      </c>
      <c r="AC641">
        <v>0</v>
      </c>
    </row>
    <row r="642" spans="27:29" x14ac:dyDescent="0.25">
      <c r="AA642">
        <v>0</v>
      </c>
      <c r="AB642">
        <v>0</v>
      </c>
      <c r="AC642">
        <v>0</v>
      </c>
    </row>
    <row r="643" spans="27:29" x14ac:dyDescent="0.25">
      <c r="AA643">
        <v>0</v>
      </c>
      <c r="AB643">
        <v>0</v>
      </c>
      <c r="AC643">
        <v>0</v>
      </c>
    </row>
    <row r="644" spans="27:29" x14ac:dyDescent="0.25">
      <c r="AA644">
        <v>0</v>
      </c>
      <c r="AB644">
        <v>0</v>
      </c>
      <c r="AC644">
        <v>0</v>
      </c>
    </row>
    <row r="645" spans="27:29" x14ac:dyDescent="0.25">
      <c r="AA645">
        <v>0</v>
      </c>
      <c r="AB645">
        <v>0</v>
      </c>
      <c r="AC645">
        <v>0</v>
      </c>
    </row>
    <row r="646" spans="27:29" x14ac:dyDescent="0.25">
      <c r="AA646">
        <v>0</v>
      </c>
      <c r="AB646">
        <v>0</v>
      </c>
      <c r="AC646">
        <v>0</v>
      </c>
    </row>
    <row r="647" spans="27:29" x14ac:dyDescent="0.25">
      <c r="AA647">
        <v>0</v>
      </c>
      <c r="AB647">
        <v>0</v>
      </c>
      <c r="AC647">
        <v>0</v>
      </c>
    </row>
    <row r="648" spans="27:29" x14ac:dyDescent="0.25">
      <c r="AA648">
        <v>0</v>
      </c>
      <c r="AB648">
        <v>0</v>
      </c>
      <c r="AC648">
        <v>0</v>
      </c>
    </row>
    <row r="649" spans="27:29" x14ac:dyDescent="0.25">
      <c r="AA649">
        <v>0</v>
      </c>
      <c r="AB649">
        <v>0</v>
      </c>
      <c r="AC649">
        <v>0</v>
      </c>
    </row>
    <row r="650" spans="27:29" x14ac:dyDescent="0.25">
      <c r="AA650">
        <v>0</v>
      </c>
      <c r="AB650">
        <v>0</v>
      </c>
      <c r="AC650">
        <v>0</v>
      </c>
    </row>
    <row r="651" spans="27:29" x14ac:dyDescent="0.25">
      <c r="AA651">
        <v>0</v>
      </c>
      <c r="AB651">
        <v>0</v>
      </c>
      <c r="AC651">
        <v>0</v>
      </c>
    </row>
    <row r="652" spans="27:29" x14ac:dyDescent="0.25">
      <c r="AA652">
        <v>0</v>
      </c>
      <c r="AB652">
        <v>0</v>
      </c>
      <c r="AC652">
        <v>0</v>
      </c>
    </row>
    <row r="653" spans="27:29" x14ac:dyDescent="0.25">
      <c r="AA653">
        <v>0</v>
      </c>
      <c r="AB653">
        <v>0</v>
      </c>
      <c r="AC653">
        <v>0</v>
      </c>
    </row>
    <row r="654" spans="27:29" x14ac:dyDescent="0.25">
      <c r="AA654">
        <v>0</v>
      </c>
      <c r="AB654">
        <v>0</v>
      </c>
      <c r="AC654">
        <v>0</v>
      </c>
    </row>
    <row r="655" spans="27:29" x14ac:dyDescent="0.25">
      <c r="AA655">
        <v>0</v>
      </c>
      <c r="AB655">
        <v>0</v>
      </c>
      <c r="AC655">
        <v>0</v>
      </c>
    </row>
    <row r="656" spans="27:29" x14ac:dyDescent="0.25">
      <c r="AA656">
        <v>0</v>
      </c>
      <c r="AB656">
        <v>0</v>
      </c>
      <c r="AC656">
        <v>0</v>
      </c>
    </row>
    <row r="657" spans="27:29" x14ac:dyDescent="0.25">
      <c r="AA657">
        <v>0</v>
      </c>
      <c r="AB657">
        <v>0</v>
      </c>
      <c r="AC657">
        <v>0</v>
      </c>
    </row>
    <row r="658" spans="27:29" x14ac:dyDescent="0.25">
      <c r="AA658">
        <v>0</v>
      </c>
      <c r="AB658">
        <v>0</v>
      </c>
      <c r="AC658">
        <v>0</v>
      </c>
    </row>
    <row r="659" spans="27:29" x14ac:dyDescent="0.25">
      <c r="AA659">
        <v>0</v>
      </c>
      <c r="AB659">
        <v>0</v>
      </c>
      <c r="AC659">
        <v>0</v>
      </c>
    </row>
    <row r="660" spans="27:29" x14ac:dyDescent="0.25">
      <c r="AA660">
        <v>0</v>
      </c>
      <c r="AB660">
        <v>0</v>
      </c>
      <c r="AC660">
        <v>0</v>
      </c>
    </row>
    <row r="661" spans="27:29" x14ac:dyDescent="0.25">
      <c r="AA661">
        <v>0</v>
      </c>
      <c r="AB661">
        <v>0</v>
      </c>
      <c r="AC661">
        <v>0</v>
      </c>
    </row>
    <row r="662" spans="27:29" x14ac:dyDescent="0.25">
      <c r="AA662">
        <v>0</v>
      </c>
      <c r="AB662">
        <v>0</v>
      </c>
      <c r="AC662">
        <v>0</v>
      </c>
    </row>
    <row r="663" spans="27:29" x14ac:dyDescent="0.25">
      <c r="AA663">
        <v>0</v>
      </c>
      <c r="AB663">
        <v>0</v>
      </c>
      <c r="AC663">
        <v>0</v>
      </c>
    </row>
    <row r="664" spans="27:29" x14ac:dyDescent="0.25">
      <c r="AA664">
        <v>0</v>
      </c>
      <c r="AB664">
        <v>0</v>
      </c>
      <c r="AC664">
        <v>0</v>
      </c>
    </row>
    <row r="665" spans="27:29" x14ac:dyDescent="0.25">
      <c r="AA665">
        <v>0</v>
      </c>
      <c r="AB665">
        <v>0</v>
      </c>
      <c r="AC665">
        <v>0</v>
      </c>
    </row>
    <row r="666" spans="27:29" x14ac:dyDescent="0.25">
      <c r="AA666">
        <v>0</v>
      </c>
      <c r="AB666">
        <v>0</v>
      </c>
      <c r="AC666">
        <v>0</v>
      </c>
    </row>
  </sheetData>
  <dataValidations count="1">
    <dataValidation type="list" allowBlank="1" showInputMessage="1" showErrorMessage="1" sqref="A75" xr:uid="{84936B19-D7F9-48E2-8122-074E58E703DE}">
      <formula1>$A$31:$A$37</formula1>
    </dataValidation>
  </dataValidation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A3:L387"/>
  <sheetViews>
    <sheetView showGridLines="0" zoomScale="80" zoomScaleNormal="80" workbookViewId="0">
      <selection activeCell="L9" sqref="L9"/>
    </sheetView>
  </sheetViews>
  <sheetFormatPr defaultRowHeight="15" x14ac:dyDescent="0.25"/>
  <cols>
    <col min="1" max="1" width="22" customWidth="1"/>
    <col min="2" max="2" width="13.5703125" customWidth="1"/>
    <col min="3" max="3" width="40" customWidth="1"/>
    <col min="4" max="4" width="26" customWidth="1"/>
    <col min="5" max="5" width="10.140625" customWidth="1"/>
    <col min="6" max="6" width="14" customWidth="1"/>
    <col min="7" max="7" width="20" customWidth="1"/>
    <col min="8" max="8" width="17" customWidth="1"/>
    <col min="9" max="9" width="39.85546875" customWidth="1"/>
    <col min="10" max="10" width="35.7109375" customWidth="1"/>
    <col min="11" max="11" width="20.7109375" customWidth="1"/>
    <col min="12" max="12" width="19.140625" customWidth="1"/>
  </cols>
  <sheetData>
    <row r="3" spans="2:4" x14ac:dyDescent="0.25">
      <c r="B3" s="2"/>
      <c r="D3" s="4"/>
    </row>
    <row r="4" spans="2:4" x14ac:dyDescent="0.25">
      <c r="B4" s="2"/>
      <c r="D4" s="4"/>
    </row>
    <row r="5" spans="2:4" x14ac:dyDescent="0.25">
      <c r="B5" s="2"/>
      <c r="D5" s="4"/>
    </row>
    <row r="6" spans="2:4" x14ac:dyDescent="0.25">
      <c r="B6" s="2"/>
      <c r="D6" s="4"/>
    </row>
    <row r="7" spans="2:4" x14ac:dyDescent="0.25">
      <c r="B7" s="2"/>
      <c r="D7" s="4"/>
    </row>
    <row r="8" spans="2:4" x14ac:dyDescent="0.25">
      <c r="B8" s="2"/>
      <c r="D8" s="4"/>
    </row>
    <row r="9" spans="2:4" x14ac:dyDescent="0.25">
      <c r="B9" s="2"/>
      <c r="D9" s="4"/>
    </row>
    <row r="17" spans="1:12" s="59" customFormat="1" ht="35.1" customHeight="1" x14ac:dyDescent="0.25">
      <c r="A17" s="58" t="s">
        <v>0</v>
      </c>
      <c r="B17" s="58" t="s">
        <v>1</v>
      </c>
      <c r="C17" s="58" t="s">
        <v>2</v>
      </c>
      <c r="D17" s="58" t="s">
        <v>3</v>
      </c>
      <c r="E17" s="58" t="s">
        <v>4</v>
      </c>
      <c r="F17" s="58" t="s">
        <v>5</v>
      </c>
      <c r="G17" s="58" t="s">
        <v>6</v>
      </c>
      <c r="H17" s="58" t="s">
        <v>7</v>
      </c>
      <c r="I17" s="58" t="s">
        <v>8</v>
      </c>
      <c r="J17" s="58" t="s">
        <v>1468</v>
      </c>
      <c r="K17" s="58" t="s">
        <v>1469</v>
      </c>
      <c r="L17" s="58" t="s">
        <v>1470</v>
      </c>
    </row>
    <row r="18" spans="1:12" ht="30" customHeight="1" x14ac:dyDescent="0.25">
      <c r="A18" t="s">
        <v>9</v>
      </c>
      <c r="B18" s="2">
        <v>340047</v>
      </c>
      <c r="C18" t="s">
        <v>10</v>
      </c>
      <c r="D18" s="20" t="s">
        <v>11</v>
      </c>
      <c r="E18" t="b">
        <v>1</v>
      </c>
      <c r="F18" s="5">
        <v>237300</v>
      </c>
      <c r="G18" t="s">
        <v>12</v>
      </c>
      <c r="H18" t="s">
        <v>13</v>
      </c>
      <c r="I18" s="1" t="s">
        <v>14</v>
      </c>
      <c r="J18" s="60" t="str" cm="1">
        <f t="array" aca="1" ref="J18" ca="1">_xlfn.XLOOKUP(Assignments[[#This Row],[Company ID]], INDIRECT("'"&amp;Assignments[[#This Row],[Coordinator]]&amp;"'!$B:$B"), INDIRECT("'"&amp;Assignments[[#This Row],[Coordinator]]&amp;"'!$J:$J"), "")</f>
        <v>First batch received: the COI and the Spend authorization logged and approved. Still awaiting the W-9. Contact committed to finishing by next week.</v>
      </c>
      <c r="K18" s="12" t="str" cm="1">
        <f t="array" aca="1" ref="K18" ca="1">_xlfn.XLOOKUP(Assignments[[#This Row],[Company ID]], INDIRECT("'"&amp;Assignments[[#This Row],[Coordinator]]&amp;"'!$B:$B"), INDIRECT("'"&amp;Assignments[[#This Row],[Coordinator]]&amp;"'!$K:$K"), "")</f>
        <v>Received</v>
      </c>
      <c r="L18" s="12" t="str" cm="1">
        <f t="array" aca="1" ref="L18" ca="1">_xlfn.XLOOKUP(Assignments[[#This Row],[Company ID]], INDIRECT("'"&amp;Assignments[[#This Row],[Coordinator]]&amp;"'!$B:$B"), INDIRECT("'"&amp;Assignments[[#This Row],[Coordinator]]&amp;"'!$L:$L"), "")</f>
        <v>RECEIVED</v>
      </c>
    </row>
    <row r="19" spans="1:12" ht="30" customHeight="1" x14ac:dyDescent="0.25">
      <c r="A19" t="s">
        <v>9</v>
      </c>
      <c r="B19" s="2">
        <v>778285</v>
      </c>
      <c r="C19" t="s">
        <v>15</v>
      </c>
      <c r="D19" s="20" t="s">
        <v>11</v>
      </c>
      <c r="E19" t="b">
        <v>1</v>
      </c>
      <c r="F19" s="5">
        <v>84100</v>
      </c>
      <c r="G19" t="s">
        <v>16</v>
      </c>
      <c r="H19" t="s">
        <v>17</v>
      </c>
      <c r="I19" s="1" t="s">
        <v>18</v>
      </c>
      <c r="J19" s="60" t="str" cm="1">
        <f t="array" aca="1" ref="J19" ca="1">_xlfn.XLOOKUP(Assignments[[#This Row],[Company ID]], INDIRECT("'"&amp;Assignments[[#This Row],[Coordinator]]&amp;"'!$B:$B"), INDIRECT("'"&amp;Assignments[[#This Row],[Coordinator]]&amp;"'!$J:$J"), "")</f>
        <v>The spend authorization is delayed due to an internal signature backlog on the vendor's side. A short extension was granted and acknowledged. Will re-check status by Wednesday.</v>
      </c>
      <c r="K19" s="12" t="str" cm="1">
        <f t="array" aca="1" ref="K19" ca="1">_xlfn.XLOOKUP(Assignments[[#This Row],[Company ID]], INDIRECT("'"&amp;Assignments[[#This Row],[Coordinator]]&amp;"'!$B:$B"), INDIRECT("'"&amp;Assignments[[#This Row],[Coordinator]]&amp;"'!$K:$K"), "")</f>
        <v>Delayed</v>
      </c>
      <c r="L19" s="12" t="b" cm="1">
        <f t="array" aca="1" ref="L19" ca="1">_xlfn.XLOOKUP(Assignments[[#This Row],[Company ID]], INDIRECT("'"&amp;Assignments[[#This Row],[Coordinator]]&amp;"'!$B:$B"), INDIRECT("'"&amp;Assignments[[#This Row],[Coordinator]]&amp;"'!$L:$L"), "")</f>
        <v>0</v>
      </c>
    </row>
    <row r="20" spans="1:12" ht="30" customHeight="1" x14ac:dyDescent="0.25">
      <c r="A20" t="s">
        <v>9</v>
      </c>
      <c r="B20" s="2">
        <v>432039</v>
      </c>
      <c r="C20" t="s">
        <v>19</v>
      </c>
      <c r="D20" s="20" t="s">
        <v>11</v>
      </c>
      <c r="E20" t="b">
        <v>1</v>
      </c>
      <c r="F20" s="5">
        <v>130400</v>
      </c>
      <c r="G20" t="s">
        <v>20</v>
      </c>
      <c r="H20" t="s">
        <v>21</v>
      </c>
      <c r="I20" s="1" t="s">
        <v>22</v>
      </c>
      <c r="J20" s="60" t="str" cm="1">
        <f t="array" aca="1" ref="J20" ca="1">_xlfn.XLOOKUP(Assignments[[#This Row],[Company ID]], INDIRECT("'"&amp;Assignments[[#This Row],[Coordinator]]&amp;"'!$B:$B"), INDIRECT("'"&amp;Assignments[[#This Row],[Coordinator]]&amp;"'!$J:$J"), "")</f>
        <v>Received and accepted the W-9, closing out the packet. No exceptions in compliance review. Vendor status set to active.</v>
      </c>
      <c r="K20" s="12" t="str" cm="1">
        <f t="array" aca="1" ref="K20" ca="1">_xlfn.XLOOKUP(Assignments[[#This Row],[Company ID]], INDIRECT("'"&amp;Assignments[[#This Row],[Coordinator]]&amp;"'!$B:$B"), INDIRECT("'"&amp;Assignments[[#This Row],[Coordinator]]&amp;"'!$K:$K"), "")</f>
        <v>Completion</v>
      </c>
      <c r="L20" s="12" t="b" cm="1">
        <f t="array" aca="1" ref="L20" ca="1">_xlfn.XLOOKUP(Assignments[[#This Row],[Company ID]], INDIRECT("'"&amp;Assignments[[#This Row],[Coordinator]]&amp;"'!$B:$B"), INDIRECT("'"&amp;Assignments[[#This Row],[Coordinator]]&amp;"'!$L:$L"), "")</f>
        <v>1</v>
      </c>
    </row>
    <row r="21" spans="1:12" ht="30" customHeight="1" x14ac:dyDescent="0.25">
      <c r="A21" t="s">
        <v>9</v>
      </c>
      <c r="B21" s="2">
        <v>573768</v>
      </c>
      <c r="C21" t="s">
        <v>23</v>
      </c>
      <c r="D21" s="20" t="s">
        <v>11</v>
      </c>
      <c r="E21" t="b">
        <v>1</v>
      </c>
      <c r="F21" s="5">
        <v>133100</v>
      </c>
      <c r="G21" t="s">
        <v>24</v>
      </c>
      <c r="H21" t="s">
        <v>25</v>
      </c>
      <c r="I21" s="1" t="s">
        <v>26</v>
      </c>
      <c r="J21" s="60" t="str" cm="1">
        <f t="array" aca="1" ref="J21" ca="1">_xlfn.XLOOKUP(Assignments[[#This Row],[Company ID]], INDIRECT("'"&amp;Assignments[[#This Row],[Coordinator]]&amp;"'!$B:$B"), INDIRECT("'"&amp;Assignments[[#This Row],[Coordinator]]&amp;"'!$J:$J"), "")</f>
        <v>The coi is delayed due to a pending budget approval on the vendor's end. A short extension was granted and acknowledged. Will re-check status by Monday.</v>
      </c>
      <c r="K21" s="12" t="str" cm="1">
        <f t="array" aca="1" ref="K21" ca="1">_xlfn.XLOOKUP(Assignments[[#This Row],[Company ID]], INDIRECT("'"&amp;Assignments[[#This Row],[Coordinator]]&amp;"'!$B:$B"), INDIRECT("'"&amp;Assignments[[#This Row],[Coordinator]]&amp;"'!$K:$K"), "")</f>
        <v>Delayed</v>
      </c>
      <c r="L21" s="12" t="b" cm="1">
        <f t="array" aca="1" ref="L21" ca="1">_xlfn.XLOOKUP(Assignments[[#This Row],[Company ID]], INDIRECT("'"&amp;Assignments[[#This Row],[Coordinator]]&amp;"'!$B:$B"), INDIRECT("'"&amp;Assignments[[#This Row],[Coordinator]]&amp;"'!$L:$L"), "")</f>
        <v>0</v>
      </c>
    </row>
    <row r="22" spans="1:12" ht="30" customHeight="1" x14ac:dyDescent="0.25">
      <c r="A22" t="s">
        <v>9</v>
      </c>
      <c r="B22" s="2">
        <v>983322</v>
      </c>
      <c r="C22" t="s">
        <v>27</v>
      </c>
      <c r="D22" s="1" t="s">
        <v>28</v>
      </c>
      <c r="E22" t="b">
        <v>1</v>
      </c>
      <c r="F22" s="5">
        <v>357500</v>
      </c>
      <c r="G22" t="s">
        <v>29</v>
      </c>
      <c r="H22" t="s">
        <v>30</v>
      </c>
      <c r="I22" s="1" t="s">
        <v>31</v>
      </c>
      <c r="J22" s="60" t="str" cm="1">
        <f t="array" aca="1" ref="J22" ca="1">_xlfn.XLOOKUP(Assignments[[#This Row],[Company ID]], INDIRECT("'"&amp;Assignments[[#This Row],[Coordinator]]&amp;"'!$B:$B"), INDIRECT("'"&amp;Assignments[[#This Row],[Coordinator]]&amp;"'!$J:$J"), "")</f>
        <v>Received and accepted the Spend authorization, closing out the packet. No exceptions in compliance review. Vendor status set to active.</v>
      </c>
      <c r="K22" s="12" t="str" cm="1">
        <f t="array" aca="1" ref="K22" ca="1">_xlfn.XLOOKUP(Assignments[[#This Row],[Company ID]], INDIRECT("'"&amp;Assignments[[#This Row],[Coordinator]]&amp;"'!$B:$B"), INDIRECT("'"&amp;Assignments[[#This Row],[Coordinator]]&amp;"'!$K:$K"), "")</f>
        <v>Completion</v>
      </c>
      <c r="L22" s="12" t="b" cm="1">
        <f t="array" aca="1" ref="L22" ca="1">_xlfn.XLOOKUP(Assignments[[#This Row],[Company ID]], INDIRECT("'"&amp;Assignments[[#This Row],[Coordinator]]&amp;"'!$B:$B"), INDIRECT("'"&amp;Assignments[[#This Row],[Coordinator]]&amp;"'!$L:$L"), "")</f>
        <v>1</v>
      </c>
    </row>
    <row r="23" spans="1:12" ht="30" customHeight="1" x14ac:dyDescent="0.25">
      <c r="A23" t="s">
        <v>9</v>
      </c>
      <c r="B23" s="2">
        <v>521473</v>
      </c>
      <c r="C23" t="s">
        <v>32</v>
      </c>
      <c r="D23" s="1" t="s">
        <v>28</v>
      </c>
      <c r="E23" t="b">
        <v>1</v>
      </c>
      <c r="F23" s="5">
        <v>585700</v>
      </c>
      <c r="G23" t="s">
        <v>33</v>
      </c>
      <c r="H23" t="s">
        <v>34</v>
      </c>
      <c r="I23" s="1" t="s">
        <v>35</v>
      </c>
      <c r="J23" s="60" t="str" cm="1">
        <f t="array" aca="1" ref="J23" ca="1">_xlfn.XLOOKUP(Assignments[[#This Row],[Company ID]], INDIRECT("'"&amp;Assignments[[#This Row],[Coordinator]]&amp;"'!$B:$B"), INDIRECT("'"&amp;Assignments[[#This Row],[Coordinator]]&amp;"'!$J:$J"), "")</f>
        <v>First batch received: the W-9 and the Spend authorization logged and approved. Still awaiting the COI. Contact committed to finishing by Monday.</v>
      </c>
      <c r="K23" s="12" t="str" cm="1">
        <f t="array" aca="1" ref="K23" ca="1">_xlfn.XLOOKUP(Assignments[[#This Row],[Company ID]], INDIRECT("'"&amp;Assignments[[#This Row],[Coordinator]]&amp;"'!$B:$B"), INDIRECT("'"&amp;Assignments[[#This Row],[Coordinator]]&amp;"'!$K:$K"), "")</f>
        <v>Received</v>
      </c>
      <c r="L23" s="12" t="str" cm="1">
        <f t="array" aca="1" ref="L23" ca="1">_xlfn.XLOOKUP(Assignments[[#This Row],[Company ID]], INDIRECT("'"&amp;Assignments[[#This Row],[Coordinator]]&amp;"'!$B:$B"), INDIRECT("'"&amp;Assignments[[#This Row],[Coordinator]]&amp;"'!$L:$L"), "")</f>
        <v>RECEIVED</v>
      </c>
    </row>
    <row r="24" spans="1:12" ht="30" customHeight="1" x14ac:dyDescent="0.25">
      <c r="A24" t="s">
        <v>9</v>
      </c>
      <c r="B24" s="2">
        <v>672316</v>
      </c>
      <c r="C24" t="s">
        <v>36</v>
      </c>
      <c r="D24" s="1" t="s">
        <v>28</v>
      </c>
      <c r="E24" t="b">
        <v>1</v>
      </c>
      <c r="F24" s="5">
        <v>267600</v>
      </c>
      <c r="G24" t="s">
        <v>37</v>
      </c>
      <c r="H24" t="s">
        <v>38</v>
      </c>
      <c r="I24" s="1" t="s">
        <v>39</v>
      </c>
      <c r="J24" s="60" t="str" cm="1">
        <f t="array" aca="1" ref="J24" ca="1">_xlfn.XLOOKUP(Assignments[[#This Row],[Company ID]], INDIRECT("'"&amp;Assignments[[#This Row],[Coordinator]]&amp;"'!$B:$B"), INDIRECT("'"&amp;Assignments[[#This Row],[Coordinator]]&amp;"'!$J:$J"), "")</f>
        <v>Full document set received and reconciled against the master vendor record; the Spend authorization needed a quick correction, now resolved. No further discrepancies found. Onboarding officially complete.</v>
      </c>
      <c r="K24" s="12" t="str" cm="1">
        <f t="array" aca="1" ref="K24" ca="1">_xlfn.XLOOKUP(Assignments[[#This Row],[Company ID]], INDIRECT("'"&amp;Assignments[[#This Row],[Coordinator]]&amp;"'!$B:$B"), INDIRECT("'"&amp;Assignments[[#This Row],[Coordinator]]&amp;"'!$K:$K"), "")</f>
        <v>Completion</v>
      </c>
      <c r="L24" s="12" t="b" cm="1">
        <f t="array" aca="1" ref="L24" ca="1">_xlfn.XLOOKUP(Assignments[[#This Row],[Company ID]], INDIRECT("'"&amp;Assignments[[#This Row],[Coordinator]]&amp;"'!$B:$B"), INDIRECT("'"&amp;Assignments[[#This Row],[Coordinator]]&amp;"'!$L:$L"), "")</f>
        <v>1</v>
      </c>
    </row>
    <row r="25" spans="1:12" ht="30" customHeight="1" x14ac:dyDescent="0.25">
      <c r="A25" t="s">
        <v>9</v>
      </c>
      <c r="B25" s="2">
        <v>771982</v>
      </c>
      <c r="C25" t="s">
        <v>40</v>
      </c>
      <c r="D25" s="1" t="s">
        <v>28</v>
      </c>
      <c r="E25" t="b">
        <v>1</v>
      </c>
      <c r="F25" s="5">
        <v>324800</v>
      </c>
      <c r="G25" t="s">
        <v>41</v>
      </c>
      <c r="H25" t="s">
        <v>42</v>
      </c>
      <c r="I25" s="1" t="s">
        <v>43</v>
      </c>
      <c r="J25" s="60" t="str" cm="1">
        <f t="array" aca="1" ref="J25" ca="1">_xlfn.XLOOKUP(Assignments[[#This Row],[Company ID]], INDIRECT("'"&amp;Assignments[[#This Row],[Coordinator]]&amp;"'!$B:$B"), INDIRECT("'"&amp;Assignments[[#This Row],[Coordinator]]&amp;"'!$J:$J"), "")</f>
        <v>Full document set received and reconciled against the master vendor record; the Spend authorization needed a quick correction, now resolved. No further discrepancies found. Onboarding officially complete.</v>
      </c>
      <c r="K25" s="12" t="str" cm="1">
        <f t="array" aca="1" ref="K25" ca="1">_xlfn.XLOOKUP(Assignments[[#This Row],[Company ID]], INDIRECT("'"&amp;Assignments[[#This Row],[Coordinator]]&amp;"'!$B:$B"), INDIRECT("'"&amp;Assignments[[#This Row],[Coordinator]]&amp;"'!$K:$K"), "")</f>
        <v>Completion</v>
      </c>
      <c r="L25" s="12" t="b" cm="1">
        <f t="array" aca="1" ref="L25" ca="1">_xlfn.XLOOKUP(Assignments[[#This Row],[Company ID]], INDIRECT("'"&amp;Assignments[[#This Row],[Coordinator]]&amp;"'!$B:$B"), INDIRECT("'"&amp;Assignments[[#This Row],[Coordinator]]&amp;"'!$L:$L"), "")</f>
        <v>1</v>
      </c>
    </row>
    <row r="26" spans="1:12" ht="30" customHeight="1" x14ac:dyDescent="0.25">
      <c r="A26" t="s">
        <v>9</v>
      </c>
      <c r="B26" s="2">
        <v>535932</v>
      </c>
      <c r="C26" t="s">
        <v>44</v>
      </c>
      <c r="D26" s="1" t="s">
        <v>28</v>
      </c>
      <c r="E26" t="b">
        <v>1</v>
      </c>
      <c r="F26" s="5">
        <v>31500</v>
      </c>
      <c r="G26" t="s">
        <v>45</v>
      </c>
      <c r="H26" t="s">
        <v>46</v>
      </c>
      <c r="I26" s="1" t="s">
        <v>47</v>
      </c>
      <c r="J26" s="60" t="str" cm="1">
        <f t="array" aca="1" ref="J26" ca="1">_xlfn.XLOOKUP(Assignments[[#This Row],[Company ID]], INDIRECT("'"&amp;Assignments[[#This Row],[Coordinator]]&amp;"'!$B:$B"), INDIRECT("'"&amp;Assignments[[#This Row],[Coordinator]]&amp;"'!$J:$J"), "")</f>
        <v>The w-9 held up because of a pending budget approval on the vendor's end. Contact is actively working it and apologized for the lag. New target is Thursday.</v>
      </c>
      <c r="K26" s="12" t="str" cm="1">
        <f t="array" aca="1" ref="K26" ca="1">_xlfn.XLOOKUP(Assignments[[#This Row],[Company ID]], INDIRECT("'"&amp;Assignments[[#This Row],[Coordinator]]&amp;"'!$B:$B"), INDIRECT("'"&amp;Assignments[[#This Row],[Coordinator]]&amp;"'!$K:$K"), "")</f>
        <v>Delayed</v>
      </c>
      <c r="L26" s="12" t="b" cm="1">
        <f t="array" aca="1" ref="L26" ca="1">_xlfn.XLOOKUP(Assignments[[#This Row],[Company ID]], INDIRECT("'"&amp;Assignments[[#This Row],[Coordinator]]&amp;"'!$B:$B"), INDIRECT("'"&amp;Assignments[[#This Row],[Coordinator]]&amp;"'!$L:$L"), "")</f>
        <v>0</v>
      </c>
    </row>
    <row r="27" spans="1:12" ht="30" customHeight="1" x14ac:dyDescent="0.25">
      <c r="A27" t="s">
        <v>9</v>
      </c>
      <c r="B27" s="2">
        <v>605468</v>
      </c>
      <c r="C27" t="s">
        <v>48</v>
      </c>
      <c r="D27" s="1" t="s">
        <v>28</v>
      </c>
      <c r="E27" t="b">
        <v>1</v>
      </c>
      <c r="F27" s="5">
        <v>51600</v>
      </c>
      <c r="G27" t="s">
        <v>49</v>
      </c>
      <c r="H27" t="s">
        <v>50</v>
      </c>
      <c r="I27" s="1" t="s">
        <v>51</v>
      </c>
      <c r="J27" s="60" t="str" cm="1">
        <f t="array" aca="1" ref="J27" ca="1">_xlfn.XLOOKUP(Assignments[[#This Row],[Company ID]], INDIRECT("'"&amp;Assignments[[#This Row],[Coordinator]]&amp;"'!$B:$B"), INDIRECT("'"&amp;Assignments[[#This Row],[Coordinator]]&amp;"'!$J:$J"), "")</f>
        <v>Partial packet in — the W-9 on file and within requirements. Awaiting the Spend authorization and the COI from the vendor's team. Reminder set for Wednesday.</v>
      </c>
      <c r="K27" s="12" t="str" cm="1">
        <f t="array" aca="1" ref="K27" ca="1">_xlfn.XLOOKUP(Assignments[[#This Row],[Company ID]], INDIRECT("'"&amp;Assignments[[#This Row],[Coordinator]]&amp;"'!$B:$B"), INDIRECT("'"&amp;Assignments[[#This Row],[Coordinator]]&amp;"'!$K:$K"), "")</f>
        <v>Received</v>
      </c>
      <c r="L27" s="12" t="str" cm="1">
        <f t="array" aca="1" ref="L27" ca="1">_xlfn.XLOOKUP(Assignments[[#This Row],[Company ID]], INDIRECT("'"&amp;Assignments[[#This Row],[Coordinator]]&amp;"'!$B:$B"), INDIRECT("'"&amp;Assignments[[#This Row],[Coordinator]]&amp;"'!$L:$L"), "")</f>
        <v>RECEIVED</v>
      </c>
    </row>
    <row r="28" spans="1:12" ht="30" customHeight="1" x14ac:dyDescent="0.25">
      <c r="A28" t="s">
        <v>9</v>
      </c>
      <c r="B28" s="2">
        <v>566178</v>
      </c>
      <c r="C28" t="s">
        <v>52</v>
      </c>
      <c r="D28" s="1" t="s">
        <v>28</v>
      </c>
      <c r="E28" t="b">
        <v>1</v>
      </c>
      <c r="F28" s="5">
        <v>26800</v>
      </c>
      <c r="G28" t="s">
        <v>53</v>
      </c>
      <c r="H28" t="s">
        <v>54</v>
      </c>
      <c r="I28" s="1" t="s">
        <v>55</v>
      </c>
      <c r="J28" s="60" t="str" cm="1">
        <f t="array" aca="1" ref="J28" ca="1">_xlfn.XLOOKUP(Assignments[[#This Row],[Company ID]], INDIRECT("'"&amp;Assignments[[#This Row],[Coordinator]]&amp;"'!$B:$B"), INDIRECT("'"&amp;Assignments[[#This Row],[Coordinator]]&amp;"'!$J:$J"), "")</f>
        <v>Documents delayed — a processing backlog cited by their broker. Contact confirmed the item is in progress. Monitoring and following up Tuesday.</v>
      </c>
      <c r="K28" s="12" t="str" cm="1">
        <f t="array" aca="1" ref="K28" ca="1">_xlfn.XLOOKUP(Assignments[[#This Row],[Company ID]], INDIRECT("'"&amp;Assignments[[#This Row],[Coordinator]]&amp;"'!$B:$B"), INDIRECT("'"&amp;Assignments[[#This Row],[Coordinator]]&amp;"'!$K:$K"), "")</f>
        <v>Delayed</v>
      </c>
      <c r="L28" s="12" t="b" cm="1">
        <f t="array" aca="1" ref="L28" ca="1">_xlfn.XLOOKUP(Assignments[[#This Row],[Company ID]], INDIRECT("'"&amp;Assignments[[#This Row],[Coordinator]]&amp;"'!$B:$B"), INDIRECT("'"&amp;Assignments[[#This Row],[Coordinator]]&amp;"'!$L:$L"), "")</f>
        <v>0</v>
      </c>
    </row>
    <row r="29" spans="1:12" ht="30" customHeight="1" x14ac:dyDescent="0.25">
      <c r="A29" t="s">
        <v>9</v>
      </c>
      <c r="B29" s="2">
        <v>974045</v>
      </c>
      <c r="C29" t="s">
        <v>56</v>
      </c>
      <c r="D29" s="1" t="s">
        <v>28</v>
      </c>
      <c r="E29" t="b">
        <v>1</v>
      </c>
      <c r="F29" s="5">
        <v>363100</v>
      </c>
      <c r="G29" t="s">
        <v>57</v>
      </c>
      <c r="H29" t="s">
        <v>58</v>
      </c>
      <c r="I29" s="1" t="s">
        <v>59</v>
      </c>
      <c r="J29" s="60" t="str" cm="1">
        <f t="array" aca="1" ref="J29" ca="1">_xlfn.XLOOKUP(Assignments[[#This Row],[Company ID]], INDIRECT("'"&amp;Assignments[[#This Row],[Coordinator]]&amp;"'!$B:$B"), INDIRECT("'"&amp;Assignments[[#This Row],[Coordinator]]&amp;"'!$J:$J"), "")</f>
        <v>All three required documents were approved on first pass, the W-9 included. The Certificate of Insurance names the arena as additional insured, as required. Vendor is good to go.</v>
      </c>
      <c r="K29" s="12" t="str" cm="1">
        <f t="array" aca="1" ref="K29" ca="1">_xlfn.XLOOKUP(Assignments[[#This Row],[Company ID]], INDIRECT("'"&amp;Assignments[[#This Row],[Coordinator]]&amp;"'!$B:$B"), INDIRECT("'"&amp;Assignments[[#This Row],[Coordinator]]&amp;"'!$K:$K"), "")</f>
        <v>Completion</v>
      </c>
      <c r="L29" s="12" t="b" cm="1">
        <f t="array" aca="1" ref="L29" ca="1">_xlfn.XLOOKUP(Assignments[[#This Row],[Company ID]], INDIRECT("'"&amp;Assignments[[#This Row],[Coordinator]]&amp;"'!$B:$B"), INDIRECT("'"&amp;Assignments[[#This Row],[Coordinator]]&amp;"'!$L:$L"), "")</f>
        <v>1</v>
      </c>
    </row>
    <row r="30" spans="1:12" ht="30" customHeight="1" x14ac:dyDescent="0.25">
      <c r="A30" t="s">
        <v>9</v>
      </c>
      <c r="B30" s="2">
        <v>838171</v>
      </c>
      <c r="C30" t="s">
        <v>60</v>
      </c>
      <c r="D30" s="1" t="s">
        <v>61</v>
      </c>
      <c r="E30" t="b">
        <v>1</v>
      </c>
      <c r="F30" s="5">
        <v>179800</v>
      </c>
      <c r="G30" t="s">
        <v>62</v>
      </c>
      <c r="H30" t="s">
        <v>63</v>
      </c>
      <c r="I30" s="1" t="s">
        <v>64</v>
      </c>
      <c r="J30" s="60" t="str" cm="1">
        <f t="array" aca="1" ref="J30" ca="1">_xlfn.XLOOKUP(Assignments[[#This Row],[Company ID]], INDIRECT("'"&amp;Assignments[[#This Row],[Coordinator]]&amp;"'!$B:$B"), INDIRECT("'"&amp;Assignments[[#This Row],[Coordinator]]&amp;"'!$J:$J"), "")</f>
        <v>The spend authorization is delayed due to a corporate reorganization reassigning document ownership. A short extension was granted and acknowledged. Will re-check status by Thursday.</v>
      </c>
      <c r="K30" s="12" t="str" cm="1">
        <f t="array" aca="1" ref="K30" ca="1">_xlfn.XLOOKUP(Assignments[[#This Row],[Company ID]], INDIRECT("'"&amp;Assignments[[#This Row],[Coordinator]]&amp;"'!$B:$B"), INDIRECT("'"&amp;Assignments[[#This Row],[Coordinator]]&amp;"'!$K:$K"), "")</f>
        <v>Delayed</v>
      </c>
      <c r="L30" s="12" t="b" cm="1">
        <f t="array" aca="1" ref="L30" ca="1">_xlfn.XLOOKUP(Assignments[[#This Row],[Company ID]], INDIRECT("'"&amp;Assignments[[#This Row],[Coordinator]]&amp;"'!$B:$B"), INDIRECT("'"&amp;Assignments[[#This Row],[Coordinator]]&amp;"'!$L:$L"), "")</f>
        <v>0</v>
      </c>
    </row>
    <row r="31" spans="1:12" ht="30" customHeight="1" x14ac:dyDescent="0.25">
      <c r="A31" t="s">
        <v>9</v>
      </c>
      <c r="B31" s="2">
        <v>803052</v>
      </c>
      <c r="C31" t="s">
        <v>65</v>
      </c>
      <c r="D31" s="1" t="s">
        <v>61</v>
      </c>
      <c r="E31" t="b">
        <v>1</v>
      </c>
      <c r="F31" s="5">
        <v>183100</v>
      </c>
      <c r="G31" t="s">
        <v>66</v>
      </c>
      <c r="H31" t="s">
        <v>67</v>
      </c>
      <c r="I31" s="1" t="s">
        <v>68</v>
      </c>
      <c r="J31" s="60" t="str" cm="1">
        <f t="array" aca="1" ref="J31" ca="1">_xlfn.XLOOKUP(Assignments[[#This Row],[Company ID]], INDIRECT("'"&amp;Assignments[[#This Row],[Coordinator]]&amp;"'!$B:$B"), INDIRECT("'"&amp;Assignments[[#This Row],[Coordinator]]&amp;"'!$J:$J"), "")</f>
        <v>All onboarding documents — COI, W-9, and Spend authorization — are received and verified, with the W-9 arriving last. Compliance review passed with no exceptions. Vendor is fully onboarded and cleared for service.</v>
      </c>
      <c r="K31" s="12" t="str" cm="1">
        <f t="array" aca="1" ref="K31" ca="1">_xlfn.XLOOKUP(Assignments[[#This Row],[Company ID]], INDIRECT("'"&amp;Assignments[[#This Row],[Coordinator]]&amp;"'!$B:$B"), INDIRECT("'"&amp;Assignments[[#This Row],[Coordinator]]&amp;"'!$K:$K"), "")</f>
        <v>Completion</v>
      </c>
      <c r="L31" s="12" t="b" cm="1">
        <f t="array" aca="1" ref="L31" ca="1">_xlfn.XLOOKUP(Assignments[[#This Row],[Company ID]], INDIRECT("'"&amp;Assignments[[#This Row],[Coordinator]]&amp;"'!$B:$B"), INDIRECT("'"&amp;Assignments[[#This Row],[Coordinator]]&amp;"'!$L:$L"), "")</f>
        <v>1</v>
      </c>
    </row>
    <row r="32" spans="1:12" ht="30" customHeight="1" x14ac:dyDescent="0.25">
      <c r="A32" t="s">
        <v>9</v>
      </c>
      <c r="B32" s="2">
        <v>834744</v>
      </c>
      <c r="C32" t="s">
        <v>69</v>
      </c>
      <c r="D32" s="1" t="s">
        <v>61</v>
      </c>
      <c r="E32" t="b">
        <v>1</v>
      </c>
      <c r="F32" s="5">
        <v>20900</v>
      </c>
      <c r="G32" t="s">
        <v>70</v>
      </c>
      <c r="H32" t="s">
        <v>71</v>
      </c>
      <c r="I32" s="1" t="s">
        <v>72</v>
      </c>
      <c r="J32" s="60" t="str" cm="1">
        <f t="array" aca="1" ref="J32" ca="1">_xlfn.XLOOKUP(Assignments[[#This Row],[Company ID]], INDIRECT("'"&amp;Assignments[[#This Row],[Coordinator]]&amp;"'!$B:$B"), INDIRECT("'"&amp;Assignments[[#This Row],[Coordinator]]&amp;"'!$J:$J"), "")</f>
        <v>The spend authorization received and verified; the W-9 and the COI still outstanding. Contact confirmed the remainder will be submitted by Tuesday. Following up then.</v>
      </c>
      <c r="K32" s="12" t="str" cm="1">
        <f t="array" aca="1" ref="K32" ca="1">_xlfn.XLOOKUP(Assignments[[#This Row],[Company ID]], INDIRECT("'"&amp;Assignments[[#This Row],[Coordinator]]&amp;"'!$B:$B"), INDIRECT("'"&amp;Assignments[[#This Row],[Coordinator]]&amp;"'!$K:$K"), "")</f>
        <v>Received</v>
      </c>
      <c r="L32" s="12" t="str" cm="1">
        <f t="array" aca="1" ref="L32" ca="1">_xlfn.XLOOKUP(Assignments[[#This Row],[Company ID]], INDIRECT("'"&amp;Assignments[[#This Row],[Coordinator]]&amp;"'!$B:$B"), INDIRECT("'"&amp;Assignments[[#This Row],[Coordinator]]&amp;"'!$L:$L"), "")</f>
        <v>RECEIVED</v>
      </c>
    </row>
    <row r="33" spans="1:12" ht="30" customHeight="1" x14ac:dyDescent="0.25">
      <c r="A33" t="s">
        <v>9</v>
      </c>
      <c r="B33" s="2">
        <v>966305</v>
      </c>
      <c r="C33" t="s">
        <v>73</v>
      </c>
      <c r="D33" s="1" t="s">
        <v>61</v>
      </c>
      <c r="E33" t="b">
        <v>1</v>
      </c>
      <c r="F33" s="5">
        <v>44200</v>
      </c>
      <c r="G33" t="s">
        <v>74</v>
      </c>
      <c r="H33" t="s">
        <v>46</v>
      </c>
      <c r="I33" s="1" t="s">
        <v>75</v>
      </c>
      <c r="J33" s="60" t="str" cm="1">
        <f t="array" aca="1" ref="J33" ca="1">_xlfn.XLOOKUP(Assignments[[#This Row],[Company ID]], INDIRECT("'"&amp;Assignments[[#This Row],[Coordinator]]&amp;"'!$B:$B"), INDIRECT("'"&amp;Assignments[[#This Row],[Coordinator]]&amp;"'!$J:$J"), "")</f>
        <v>Received and accepted the W-9, closing out the packet. No exceptions in compliance review. Vendor status set to active.</v>
      </c>
      <c r="K33" s="12" t="str" cm="1">
        <f t="array" aca="1" ref="K33" ca="1">_xlfn.XLOOKUP(Assignments[[#This Row],[Company ID]], INDIRECT("'"&amp;Assignments[[#This Row],[Coordinator]]&amp;"'!$B:$B"), INDIRECT("'"&amp;Assignments[[#This Row],[Coordinator]]&amp;"'!$K:$K"), "")</f>
        <v>Completion</v>
      </c>
      <c r="L33" s="12" t="b" cm="1">
        <f t="array" aca="1" ref="L33" ca="1">_xlfn.XLOOKUP(Assignments[[#This Row],[Company ID]], INDIRECT("'"&amp;Assignments[[#This Row],[Coordinator]]&amp;"'!$B:$B"), INDIRECT("'"&amp;Assignments[[#This Row],[Coordinator]]&amp;"'!$L:$L"), "")</f>
        <v>1</v>
      </c>
    </row>
    <row r="34" spans="1:12" ht="30" customHeight="1" x14ac:dyDescent="0.25">
      <c r="A34" t="s">
        <v>9</v>
      </c>
      <c r="B34" s="2">
        <v>308448</v>
      </c>
      <c r="C34" t="s">
        <v>76</v>
      </c>
      <c r="D34" s="1" t="s">
        <v>61</v>
      </c>
      <c r="E34" t="b">
        <v>1</v>
      </c>
      <c r="F34" s="5">
        <v>260100</v>
      </c>
      <c r="G34" t="s">
        <v>77</v>
      </c>
      <c r="H34" t="s">
        <v>78</v>
      </c>
      <c r="I34" s="1" t="s">
        <v>79</v>
      </c>
      <c r="J34" s="60" t="str" cm="1">
        <f t="array" aca="1" ref="J34" ca="1">_xlfn.XLOOKUP(Assignments[[#This Row],[Company ID]], INDIRECT("'"&amp;Assignments[[#This Row],[Coordinator]]&amp;"'!$B:$B"), INDIRECT("'"&amp;Assignments[[#This Row],[Coordinator]]&amp;"'!$J:$J"), "")</f>
        <v>All onboarding documents — COI, W-9, and Spend authorization — are received and verified, with the COI arriving last. Compliance review passed with no exceptions. Vendor is fully onboarded and cleared for service.</v>
      </c>
      <c r="K34" s="12" t="str" cm="1">
        <f t="array" aca="1" ref="K34" ca="1">_xlfn.XLOOKUP(Assignments[[#This Row],[Company ID]], INDIRECT("'"&amp;Assignments[[#This Row],[Coordinator]]&amp;"'!$B:$B"), INDIRECT("'"&amp;Assignments[[#This Row],[Coordinator]]&amp;"'!$K:$K"), "")</f>
        <v>Completion</v>
      </c>
      <c r="L34" s="12" t="b" cm="1">
        <f t="array" aca="1" ref="L34" ca="1">_xlfn.XLOOKUP(Assignments[[#This Row],[Company ID]], INDIRECT("'"&amp;Assignments[[#This Row],[Coordinator]]&amp;"'!$B:$B"), INDIRECT("'"&amp;Assignments[[#This Row],[Coordinator]]&amp;"'!$L:$L"), "")</f>
        <v>1</v>
      </c>
    </row>
    <row r="35" spans="1:12" ht="30" customHeight="1" x14ac:dyDescent="0.25">
      <c r="A35" t="s">
        <v>9</v>
      </c>
      <c r="B35" s="2">
        <v>906908</v>
      </c>
      <c r="C35" t="s">
        <v>80</v>
      </c>
      <c r="D35" s="1" t="s">
        <v>61</v>
      </c>
      <c r="E35" t="b">
        <v>1</v>
      </c>
      <c r="F35" s="5">
        <v>212600</v>
      </c>
      <c r="G35" t="s">
        <v>81</v>
      </c>
      <c r="H35" t="s">
        <v>82</v>
      </c>
      <c r="I35" s="1" t="s">
        <v>83</v>
      </c>
      <c r="J35" s="60" t="str" cm="1">
        <f t="array" aca="1" ref="J35" ca="1">_xlfn.XLOOKUP(Assignments[[#This Row],[Company ID]], INDIRECT("'"&amp;Assignments[[#This Row],[Coordinator]]&amp;"'!$B:$B"), INDIRECT("'"&amp;Assignments[[#This Row],[Coordinator]]&amp;"'!$J:$J"), "")</f>
        <v>Packet complete after the Spend authorization was uploaded, closing the final open item. Documents were cross-checked against contract requirements and approved. Vendor moved to active status.</v>
      </c>
      <c r="K35" s="12" t="str" cm="1">
        <f t="array" aca="1" ref="K35" ca="1">_xlfn.XLOOKUP(Assignments[[#This Row],[Company ID]], INDIRECT("'"&amp;Assignments[[#This Row],[Coordinator]]&amp;"'!$B:$B"), INDIRECT("'"&amp;Assignments[[#This Row],[Coordinator]]&amp;"'!$K:$K"), "")</f>
        <v>Completion</v>
      </c>
      <c r="L35" s="12" t="b" cm="1">
        <f t="array" aca="1" ref="L35" ca="1">_xlfn.XLOOKUP(Assignments[[#This Row],[Company ID]], INDIRECT("'"&amp;Assignments[[#This Row],[Coordinator]]&amp;"'!$B:$B"), INDIRECT("'"&amp;Assignments[[#This Row],[Coordinator]]&amp;"'!$L:$L"), "")</f>
        <v>1</v>
      </c>
    </row>
    <row r="36" spans="1:12" ht="30" customHeight="1" x14ac:dyDescent="0.25">
      <c r="A36" t="s">
        <v>9</v>
      </c>
      <c r="B36" s="2">
        <v>974302</v>
      </c>
      <c r="C36" t="s">
        <v>84</v>
      </c>
      <c r="D36" s="1" t="s">
        <v>61</v>
      </c>
      <c r="E36" t="b">
        <v>1</v>
      </c>
      <c r="F36" s="5">
        <v>204600</v>
      </c>
      <c r="G36" t="s">
        <v>85</v>
      </c>
      <c r="H36" t="s">
        <v>86</v>
      </c>
      <c r="I36" s="1" t="s">
        <v>87</v>
      </c>
      <c r="J36" s="60" t="str" cm="1">
        <f t="array" aca="1" ref="J36" ca="1">_xlfn.XLOOKUP(Assignments[[#This Row],[Company ID]], INDIRECT("'"&amp;Assignments[[#This Row],[Coordinator]]&amp;"'!$B:$B"), INDIRECT("'"&amp;Assignments[[#This Row],[Coordinator]]&amp;"'!$J:$J"), "")</f>
        <v>All three required documents were approved on first pass, the Spend authorization included. The Certificate of Insurance names the arena as additional insured, as required. Vendor is good to go.</v>
      </c>
      <c r="K36" s="12" t="str" cm="1">
        <f t="array" aca="1" ref="K36" ca="1">_xlfn.XLOOKUP(Assignments[[#This Row],[Company ID]], INDIRECT("'"&amp;Assignments[[#This Row],[Coordinator]]&amp;"'!$B:$B"), INDIRECT("'"&amp;Assignments[[#This Row],[Coordinator]]&amp;"'!$K:$K"), "")</f>
        <v>Completion</v>
      </c>
      <c r="L36" s="12" t="b" cm="1">
        <f t="array" aca="1" ref="L36" ca="1">_xlfn.XLOOKUP(Assignments[[#This Row],[Company ID]], INDIRECT("'"&amp;Assignments[[#This Row],[Coordinator]]&amp;"'!$B:$B"), INDIRECT("'"&amp;Assignments[[#This Row],[Coordinator]]&amp;"'!$L:$L"), "")</f>
        <v>1</v>
      </c>
    </row>
    <row r="37" spans="1:12" ht="30" customHeight="1" x14ac:dyDescent="0.25">
      <c r="A37" t="s">
        <v>9</v>
      </c>
      <c r="B37" s="2">
        <v>730226</v>
      </c>
      <c r="C37" t="s">
        <v>88</v>
      </c>
      <c r="D37" s="1" t="s">
        <v>89</v>
      </c>
      <c r="E37" t="b">
        <v>1</v>
      </c>
      <c r="F37" s="5">
        <v>43100</v>
      </c>
      <c r="G37" t="s">
        <v>90</v>
      </c>
      <c r="H37" t="s">
        <v>91</v>
      </c>
      <c r="I37" s="1" t="s">
        <v>92</v>
      </c>
      <c r="J37" s="60" t="str" cm="1">
        <f t="array" aca="1" ref="J37" ca="1">_xlfn.XLOOKUP(Assignments[[#This Row],[Company ID]], INDIRECT("'"&amp;Assignments[[#This Row],[Coordinator]]&amp;"'!$B:$B"), INDIRECT("'"&amp;Assignments[[#This Row],[Coordinator]]&amp;"'!$J:$J"), "")</f>
        <v>Received and accepted the COI, closing out the packet. No exceptions in compliance review. Vendor status set to active.</v>
      </c>
      <c r="K37" s="12" t="str" cm="1">
        <f t="array" aca="1" ref="K37" ca="1">_xlfn.XLOOKUP(Assignments[[#This Row],[Company ID]], INDIRECT("'"&amp;Assignments[[#This Row],[Coordinator]]&amp;"'!$B:$B"), INDIRECT("'"&amp;Assignments[[#This Row],[Coordinator]]&amp;"'!$K:$K"), "")</f>
        <v>Completion</v>
      </c>
      <c r="L37" s="12" t="b" cm="1">
        <f t="array" aca="1" ref="L37" ca="1">_xlfn.XLOOKUP(Assignments[[#This Row],[Company ID]], INDIRECT("'"&amp;Assignments[[#This Row],[Coordinator]]&amp;"'!$B:$B"), INDIRECT("'"&amp;Assignments[[#This Row],[Coordinator]]&amp;"'!$L:$L"), "")</f>
        <v>1</v>
      </c>
    </row>
    <row r="38" spans="1:12" ht="30" customHeight="1" x14ac:dyDescent="0.25">
      <c r="A38" t="s">
        <v>9</v>
      </c>
      <c r="B38" s="2">
        <v>207559</v>
      </c>
      <c r="C38" t="s">
        <v>93</v>
      </c>
      <c r="D38" s="1" t="s">
        <v>89</v>
      </c>
      <c r="E38" t="b">
        <v>1</v>
      </c>
      <c r="F38" s="5">
        <v>123700</v>
      </c>
      <c r="G38" t="s">
        <v>94</v>
      </c>
      <c r="H38" t="s">
        <v>95</v>
      </c>
      <c r="I38" s="1" t="s">
        <v>96</v>
      </c>
      <c r="J38" s="60" t="str" cm="1">
        <f t="array" aca="1" ref="J38" ca="1">_xlfn.XLOOKUP(Assignments[[#This Row],[Company ID]], INDIRECT("'"&amp;Assignments[[#This Row],[Coordinator]]&amp;"'!$B:$B"), INDIRECT("'"&amp;Assignments[[#This Row],[Coordinator]]&amp;"'!$J:$J"), "")</f>
        <v>Good progress — the COI and the Spend authorization confirmed and filed. The w-9 sits in the vendor's internal approval queue, expected by Monday. No concerns yet.</v>
      </c>
      <c r="K38" s="12" t="str" cm="1">
        <f t="array" aca="1" ref="K38" ca="1">_xlfn.XLOOKUP(Assignments[[#This Row],[Company ID]], INDIRECT("'"&amp;Assignments[[#This Row],[Coordinator]]&amp;"'!$B:$B"), INDIRECT("'"&amp;Assignments[[#This Row],[Coordinator]]&amp;"'!$K:$K"), "")</f>
        <v>Received</v>
      </c>
      <c r="L38" s="12" t="str" cm="1">
        <f t="array" aca="1" ref="L38" ca="1">_xlfn.XLOOKUP(Assignments[[#This Row],[Company ID]], INDIRECT("'"&amp;Assignments[[#This Row],[Coordinator]]&amp;"'!$B:$B"), INDIRECT("'"&amp;Assignments[[#This Row],[Coordinator]]&amp;"'!$L:$L"), "")</f>
        <v>RECEIVED</v>
      </c>
    </row>
    <row r="39" spans="1:12" ht="30" customHeight="1" x14ac:dyDescent="0.25">
      <c r="A39" t="s">
        <v>9</v>
      </c>
      <c r="B39" s="2">
        <v>757111</v>
      </c>
      <c r="C39" t="s">
        <v>97</v>
      </c>
      <c r="D39" s="1" t="s">
        <v>89</v>
      </c>
      <c r="E39" t="b">
        <v>1</v>
      </c>
      <c r="F39" s="5">
        <v>195500</v>
      </c>
      <c r="G39" t="s">
        <v>98</v>
      </c>
      <c r="H39" t="s">
        <v>99</v>
      </c>
      <c r="I39" s="1" t="s">
        <v>100</v>
      </c>
      <c r="J39" s="60" t="str" cm="1">
        <f t="array" aca="1" ref="J39" ca="1">_xlfn.XLOOKUP(Assignments[[#This Row],[Company ID]], INDIRECT("'"&amp;Assignments[[#This Row],[Coordinator]]&amp;"'!$B:$B"), INDIRECT("'"&amp;Assignments[[#This Row],[Coordinator]]&amp;"'!$J:$J"), "")</f>
        <v>The coi pushed back owing to a pending budget approval on the vendor's end. The rest of the packet is fine. Expecting resolution by Thursday.</v>
      </c>
      <c r="K39" s="12" t="str" cm="1">
        <f t="array" aca="1" ref="K39" ca="1">_xlfn.XLOOKUP(Assignments[[#This Row],[Company ID]], INDIRECT("'"&amp;Assignments[[#This Row],[Coordinator]]&amp;"'!$B:$B"), INDIRECT("'"&amp;Assignments[[#This Row],[Coordinator]]&amp;"'!$K:$K"), "")</f>
        <v>Delayed</v>
      </c>
      <c r="L39" s="12" t="b" cm="1">
        <f t="array" aca="1" ref="L39" ca="1">_xlfn.XLOOKUP(Assignments[[#This Row],[Company ID]], INDIRECT("'"&amp;Assignments[[#This Row],[Coordinator]]&amp;"'!$B:$B"), INDIRECT("'"&amp;Assignments[[#This Row],[Coordinator]]&amp;"'!$L:$L"), "")</f>
        <v>0</v>
      </c>
    </row>
    <row r="40" spans="1:12" ht="30" customHeight="1" x14ac:dyDescent="0.25">
      <c r="A40" t="s">
        <v>9</v>
      </c>
      <c r="B40" s="2">
        <v>579886</v>
      </c>
      <c r="C40" t="s">
        <v>101</v>
      </c>
      <c r="D40" s="1" t="s">
        <v>89</v>
      </c>
      <c r="E40" t="b">
        <v>1</v>
      </c>
      <c r="F40" s="5">
        <v>279000</v>
      </c>
      <c r="G40" t="s">
        <v>102</v>
      </c>
      <c r="H40" t="s">
        <v>103</v>
      </c>
      <c r="I40" s="1" t="s">
        <v>104</v>
      </c>
      <c r="J40" s="60" t="str" cm="1">
        <f t="array" aca="1" ref="J40" ca="1">_xlfn.XLOOKUP(Assignments[[#This Row],[Company ID]], INDIRECT("'"&amp;Assignments[[#This Row],[Coordinator]]&amp;"'!$B:$B"), INDIRECT("'"&amp;Assignments[[#This Row],[Coordinator]]&amp;"'!$J:$J"), "")</f>
        <v>Documents delayed — a processing backlog cited by their broker. Contact confirmed the item is in progress. Monitoring and following up Friday.</v>
      </c>
      <c r="K40" s="12" t="str" cm="1">
        <f t="array" aca="1" ref="K40" ca="1">_xlfn.XLOOKUP(Assignments[[#This Row],[Company ID]], INDIRECT("'"&amp;Assignments[[#This Row],[Coordinator]]&amp;"'!$B:$B"), INDIRECT("'"&amp;Assignments[[#This Row],[Coordinator]]&amp;"'!$K:$K"), "")</f>
        <v>Delayed</v>
      </c>
      <c r="L40" s="12" t="b" cm="1">
        <f t="array" aca="1" ref="L40" ca="1">_xlfn.XLOOKUP(Assignments[[#This Row],[Company ID]], INDIRECT("'"&amp;Assignments[[#This Row],[Coordinator]]&amp;"'!$B:$B"), INDIRECT("'"&amp;Assignments[[#This Row],[Coordinator]]&amp;"'!$L:$L"), "")</f>
        <v>0</v>
      </c>
    </row>
    <row r="41" spans="1:12" ht="30" customHeight="1" x14ac:dyDescent="0.25">
      <c r="A41" t="s">
        <v>9</v>
      </c>
      <c r="B41" s="2">
        <v>573149</v>
      </c>
      <c r="C41" t="s">
        <v>105</v>
      </c>
      <c r="D41" s="1" t="s">
        <v>89</v>
      </c>
      <c r="E41" t="b">
        <v>1</v>
      </c>
      <c r="F41" s="5">
        <v>231600</v>
      </c>
      <c r="G41" t="s">
        <v>106</v>
      </c>
      <c r="H41" t="s">
        <v>107</v>
      </c>
      <c r="I41" s="1" t="s">
        <v>108</v>
      </c>
      <c r="J41" s="60" t="str" cm="1">
        <f t="array" aca="1" ref="J41" ca="1">_xlfn.XLOOKUP(Assignments[[#This Row],[Company ID]], INDIRECT("'"&amp;Assignments[[#This Row],[Coordinator]]&amp;"'!$B:$B"), INDIRECT("'"&amp;Assignments[[#This Row],[Coordinator]]&amp;"'!$J:$J"), "")</f>
        <v>Confirmed all required paperwork on file once the W-9 came through the portal. Insurance limits and tax details verified. Onboarding closed out.</v>
      </c>
      <c r="K41" s="12" t="str" cm="1">
        <f t="array" aca="1" ref="K41" ca="1">_xlfn.XLOOKUP(Assignments[[#This Row],[Company ID]], INDIRECT("'"&amp;Assignments[[#This Row],[Coordinator]]&amp;"'!$B:$B"), INDIRECT("'"&amp;Assignments[[#This Row],[Coordinator]]&amp;"'!$K:$K"), "")</f>
        <v>Completion</v>
      </c>
      <c r="L41" s="12" t="b" cm="1">
        <f t="array" aca="1" ref="L41" ca="1">_xlfn.XLOOKUP(Assignments[[#This Row],[Company ID]], INDIRECT("'"&amp;Assignments[[#This Row],[Coordinator]]&amp;"'!$B:$B"), INDIRECT("'"&amp;Assignments[[#This Row],[Coordinator]]&amp;"'!$L:$L"), "")</f>
        <v>1</v>
      </c>
    </row>
    <row r="42" spans="1:12" ht="30" customHeight="1" x14ac:dyDescent="0.25">
      <c r="A42" t="s">
        <v>9</v>
      </c>
      <c r="B42" s="2">
        <v>921494</v>
      </c>
      <c r="C42" t="s">
        <v>109</v>
      </c>
      <c r="D42" s="1" t="s">
        <v>89</v>
      </c>
      <c r="E42" t="b">
        <v>1</v>
      </c>
      <c r="F42" s="5">
        <v>107600</v>
      </c>
      <c r="G42" t="s">
        <v>110</v>
      </c>
      <c r="H42" t="s">
        <v>111</v>
      </c>
      <c r="I42" s="1" t="s">
        <v>112</v>
      </c>
      <c r="J42" s="60" t="str" cm="1">
        <f t="array" aca="1" ref="J42" ca="1">_xlfn.XLOOKUP(Assignments[[#This Row],[Company ID]], INDIRECT("'"&amp;Assignments[[#This Row],[Coordinator]]&amp;"'!$B:$B"), INDIRECT("'"&amp;Assignments[[#This Row],[Coordinator]]&amp;"'!$J:$J"), "")</f>
        <v>Received and accepted the COI, closing out the packet. No exceptions in compliance review. Vendor status set to active.</v>
      </c>
      <c r="K42" s="12" t="str" cm="1">
        <f t="array" aca="1" ref="K42" ca="1">_xlfn.XLOOKUP(Assignments[[#This Row],[Company ID]], INDIRECT("'"&amp;Assignments[[#This Row],[Coordinator]]&amp;"'!$B:$B"), INDIRECT("'"&amp;Assignments[[#This Row],[Coordinator]]&amp;"'!$K:$K"), "")</f>
        <v>Completion</v>
      </c>
      <c r="L42" s="12" t="b" cm="1">
        <f t="array" aca="1" ref="L42" ca="1">_xlfn.XLOOKUP(Assignments[[#This Row],[Company ID]], INDIRECT("'"&amp;Assignments[[#This Row],[Coordinator]]&amp;"'!$B:$B"), INDIRECT("'"&amp;Assignments[[#This Row],[Coordinator]]&amp;"'!$L:$L"), "")</f>
        <v>1</v>
      </c>
    </row>
    <row r="43" spans="1:12" ht="30" customHeight="1" x14ac:dyDescent="0.25">
      <c r="A43" t="s">
        <v>9</v>
      </c>
      <c r="B43" s="2">
        <v>197642</v>
      </c>
      <c r="C43" t="s">
        <v>113</v>
      </c>
      <c r="D43" s="1" t="s">
        <v>89</v>
      </c>
      <c r="E43" t="b">
        <v>1</v>
      </c>
      <c r="F43" s="5">
        <v>150400</v>
      </c>
      <c r="G43" t="s">
        <v>114</v>
      </c>
      <c r="H43" t="s">
        <v>115</v>
      </c>
      <c r="I43" s="1" t="s">
        <v>116</v>
      </c>
      <c r="J43" s="60" t="str" cm="1">
        <f t="array" aca="1" ref="J43" ca="1">_xlfn.XLOOKUP(Assignments[[#This Row],[Company ID]], INDIRECT("'"&amp;Assignments[[#This Row],[Coordinator]]&amp;"'!$B:$B"), INDIRECT("'"&amp;Assignments[[#This Row],[Coordinator]]&amp;"'!$J:$J"), "")</f>
        <v>Progressing well: the W-9 and the Spend authorization accepted and logged. Outstanding item is the COI, which the contact expects by Thursday. Steady communication.</v>
      </c>
      <c r="K43" s="12" t="str" cm="1">
        <f t="array" aca="1" ref="K43" ca="1">_xlfn.XLOOKUP(Assignments[[#This Row],[Company ID]], INDIRECT("'"&amp;Assignments[[#This Row],[Coordinator]]&amp;"'!$B:$B"), INDIRECT("'"&amp;Assignments[[#This Row],[Coordinator]]&amp;"'!$K:$K"), "")</f>
        <v>Received</v>
      </c>
      <c r="L43" s="12" t="str" cm="1">
        <f t="array" aca="1" ref="L43" ca="1">_xlfn.XLOOKUP(Assignments[[#This Row],[Company ID]], INDIRECT("'"&amp;Assignments[[#This Row],[Coordinator]]&amp;"'!$B:$B"), INDIRECT("'"&amp;Assignments[[#This Row],[Coordinator]]&amp;"'!$L:$L"), "")</f>
        <v>RECEIVED</v>
      </c>
    </row>
    <row r="44" spans="1:12" ht="30" customHeight="1" x14ac:dyDescent="0.25">
      <c r="A44" t="s">
        <v>9</v>
      </c>
      <c r="B44" s="2">
        <v>778636</v>
      </c>
      <c r="C44" t="s">
        <v>117</v>
      </c>
      <c r="D44" s="1" t="s">
        <v>118</v>
      </c>
      <c r="E44" t="b">
        <v>1</v>
      </c>
      <c r="F44" s="5">
        <v>366100</v>
      </c>
      <c r="G44" t="s">
        <v>119</v>
      </c>
      <c r="H44" t="s">
        <v>120</v>
      </c>
      <c r="I44" s="1" t="s">
        <v>121</v>
      </c>
      <c r="J44" s="60" t="str" cm="1">
        <f t="array" aca="1" ref="J44" ca="1">_xlfn.XLOOKUP(Assignments[[#This Row],[Company ID]], INDIRECT("'"&amp;Assignments[[#This Row],[Coordinator]]&amp;"'!$B:$B"), INDIRECT("'"&amp;Assignments[[#This Row],[Coordinator]]&amp;"'!$J:$J"), "")</f>
        <v>Packet complete after the Spend authorization was uploaded, closing the final open item. Documents were cross-checked against contract requirements and approved. Vendor moved to active status.</v>
      </c>
      <c r="K44" s="12" t="str" cm="1">
        <f t="array" aca="1" ref="K44" ca="1">_xlfn.XLOOKUP(Assignments[[#This Row],[Company ID]], INDIRECT("'"&amp;Assignments[[#This Row],[Coordinator]]&amp;"'!$B:$B"), INDIRECT("'"&amp;Assignments[[#This Row],[Coordinator]]&amp;"'!$K:$K"), "")</f>
        <v>Completion</v>
      </c>
      <c r="L44" s="12" t="b" cm="1">
        <f t="array" aca="1" ref="L44" ca="1">_xlfn.XLOOKUP(Assignments[[#This Row],[Company ID]], INDIRECT("'"&amp;Assignments[[#This Row],[Coordinator]]&amp;"'!$B:$B"), INDIRECT("'"&amp;Assignments[[#This Row],[Coordinator]]&amp;"'!$L:$L"), "")</f>
        <v>1</v>
      </c>
    </row>
    <row r="45" spans="1:12" ht="30" customHeight="1" x14ac:dyDescent="0.25">
      <c r="A45" t="s">
        <v>9</v>
      </c>
      <c r="B45" s="2">
        <v>630955</v>
      </c>
      <c r="C45" t="s">
        <v>122</v>
      </c>
      <c r="D45" s="1" t="s">
        <v>118</v>
      </c>
      <c r="E45" t="b">
        <v>1</v>
      </c>
      <c r="F45" s="5">
        <v>283800</v>
      </c>
      <c r="G45" t="s">
        <v>123</v>
      </c>
      <c r="H45" t="s">
        <v>124</v>
      </c>
      <c r="I45" s="1" t="s">
        <v>125</v>
      </c>
      <c r="J45" s="60" t="str" cm="1">
        <f t="array" aca="1" ref="J45" ca="1">_xlfn.XLOOKUP(Assignments[[#This Row],[Company ID]], INDIRECT("'"&amp;Assignments[[#This Row],[Coordinator]]&amp;"'!$B:$B"), INDIRECT("'"&amp;Assignments[[#This Row],[Coordinator]]&amp;"'!$J:$J"), "")</f>
        <v>Documents delayed — an unexpected staffing gap after the contact went on leave. Contact confirmed the item is in progress. Monitoring and following up Wednesday.</v>
      </c>
      <c r="K45" s="12" t="str" cm="1">
        <f t="array" aca="1" ref="K45" ca="1">_xlfn.XLOOKUP(Assignments[[#This Row],[Company ID]], INDIRECT("'"&amp;Assignments[[#This Row],[Coordinator]]&amp;"'!$B:$B"), INDIRECT("'"&amp;Assignments[[#This Row],[Coordinator]]&amp;"'!$K:$K"), "")</f>
        <v>Delayed</v>
      </c>
      <c r="L45" s="12" t="b" cm="1">
        <f t="array" aca="1" ref="L45" ca="1">_xlfn.XLOOKUP(Assignments[[#This Row],[Company ID]], INDIRECT("'"&amp;Assignments[[#This Row],[Coordinator]]&amp;"'!$B:$B"), INDIRECT("'"&amp;Assignments[[#This Row],[Coordinator]]&amp;"'!$L:$L"), "")</f>
        <v>0</v>
      </c>
    </row>
    <row r="46" spans="1:12" ht="30" customHeight="1" x14ac:dyDescent="0.25">
      <c r="A46" t="s">
        <v>9</v>
      </c>
      <c r="B46" s="2">
        <v>382104</v>
      </c>
      <c r="C46" t="s">
        <v>126</v>
      </c>
      <c r="D46" s="1" t="s">
        <v>118</v>
      </c>
      <c r="E46" t="b">
        <v>1</v>
      </c>
      <c r="F46" s="5">
        <v>336000</v>
      </c>
      <c r="G46" t="s">
        <v>127</v>
      </c>
      <c r="H46" t="s">
        <v>128</v>
      </c>
      <c r="I46" s="1" t="s">
        <v>129</v>
      </c>
      <c r="J46" s="60" t="str" cm="1">
        <f t="array" aca="1" ref="J46" ca="1">_xlfn.XLOOKUP(Assignments[[#This Row],[Company ID]], INDIRECT("'"&amp;Assignments[[#This Row],[Coordinator]]&amp;"'!$B:$B"), INDIRECT("'"&amp;Assignments[[#This Row],[Coordinator]]&amp;"'!$J:$J"), "")</f>
        <v>Good progress — the COI and the W-9 confirmed and filed. The spend authorization sits in the vendor's internal approval queue, expected by Monday. No concerns yet.</v>
      </c>
      <c r="K46" s="12" t="str" cm="1">
        <f t="array" aca="1" ref="K46" ca="1">_xlfn.XLOOKUP(Assignments[[#This Row],[Company ID]], INDIRECT("'"&amp;Assignments[[#This Row],[Coordinator]]&amp;"'!$B:$B"), INDIRECT("'"&amp;Assignments[[#This Row],[Coordinator]]&amp;"'!$K:$K"), "")</f>
        <v>Received</v>
      </c>
      <c r="L46" s="12" t="str" cm="1">
        <f t="array" aca="1" ref="L46" ca="1">_xlfn.XLOOKUP(Assignments[[#This Row],[Company ID]], INDIRECT("'"&amp;Assignments[[#This Row],[Coordinator]]&amp;"'!$B:$B"), INDIRECT("'"&amp;Assignments[[#This Row],[Coordinator]]&amp;"'!$L:$L"), "")</f>
        <v>RECEIVED</v>
      </c>
    </row>
    <row r="47" spans="1:12" ht="30" customHeight="1" x14ac:dyDescent="0.25">
      <c r="A47" t="s">
        <v>9</v>
      </c>
      <c r="B47" s="2">
        <v>942580</v>
      </c>
      <c r="C47" t="s">
        <v>130</v>
      </c>
      <c r="D47" s="1" t="s">
        <v>118</v>
      </c>
      <c r="E47" t="b">
        <v>1</v>
      </c>
      <c r="F47" s="5">
        <v>225900</v>
      </c>
      <c r="G47" t="s">
        <v>131</v>
      </c>
      <c r="H47" t="s">
        <v>132</v>
      </c>
      <c r="I47" s="1" t="s">
        <v>133</v>
      </c>
      <c r="J47" s="60" t="str" cm="1">
        <f t="array" aca="1" ref="J47" ca="1">_xlfn.XLOOKUP(Assignments[[#This Row],[Company ID]], INDIRECT("'"&amp;Assignments[[#This Row],[Coordinator]]&amp;"'!$B:$B"), INDIRECT("'"&amp;Assignments[[#This Row],[Coordinator]]&amp;"'!$J:$J"), "")</f>
        <v>All three required documents were approved on first pass, the COI included. The Certificate of Insurance names the arena as additional insured, as required. Vendor is good to go.</v>
      </c>
      <c r="K47" s="12" t="str" cm="1">
        <f t="array" aca="1" ref="K47" ca="1">_xlfn.XLOOKUP(Assignments[[#This Row],[Company ID]], INDIRECT("'"&amp;Assignments[[#This Row],[Coordinator]]&amp;"'!$B:$B"), INDIRECT("'"&amp;Assignments[[#This Row],[Coordinator]]&amp;"'!$K:$K"), "")</f>
        <v>Completion</v>
      </c>
      <c r="L47" s="12" t="b" cm="1">
        <f t="array" aca="1" ref="L47" ca="1">_xlfn.XLOOKUP(Assignments[[#This Row],[Company ID]], INDIRECT("'"&amp;Assignments[[#This Row],[Coordinator]]&amp;"'!$B:$B"), INDIRECT("'"&amp;Assignments[[#This Row],[Coordinator]]&amp;"'!$L:$L"), "")</f>
        <v>1</v>
      </c>
    </row>
    <row r="48" spans="1:12" ht="30" customHeight="1" x14ac:dyDescent="0.25">
      <c r="A48" t="s">
        <v>9</v>
      </c>
      <c r="B48" s="2">
        <v>894465</v>
      </c>
      <c r="C48" t="s">
        <v>134</v>
      </c>
      <c r="D48" s="1" t="s">
        <v>118</v>
      </c>
      <c r="E48" t="b">
        <v>1</v>
      </c>
      <c r="F48" s="5">
        <v>434200</v>
      </c>
      <c r="G48" t="s">
        <v>135</v>
      </c>
      <c r="H48" t="s">
        <v>136</v>
      </c>
      <c r="I48" s="1" t="s">
        <v>137</v>
      </c>
      <c r="J48" s="60" t="str" cm="1">
        <f t="array" aca="1" ref="J48" ca="1">_xlfn.XLOOKUP(Assignments[[#This Row],[Company ID]], INDIRECT("'"&amp;Assignments[[#This Row],[Coordinator]]&amp;"'!$B:$B"), INDIRECT("'"&amp;Assignments[[#This Row],[Coordinator]]&amp;"'!$J:$J"), "")</f>
        <v>The spend authorization held up because of a vendor-side system migration that temporarily locked their files. Contact is actively working it and apologized for the lag. New target is Friday.</v>
      </c>
      <c r="K48" s="12" t="str" cm="1">
        <f t="array" aca="1" ref="K48" ca="1">_xlfn.XLOOKUP(Assignments[[#This Row],[Company ID]], INDIRECT("'"&amp;Assignments[[#This Row],[Coordinator]]&amp;"'!$B:$B"), INDIRECT("'"&amp;Assignments[[#This Row],[Coordinator]]&amp;"'!$K:$K"), "")</f>
        <v>Delayed</v>
      </c>
      <c r="L48" s="12" t="b" cm="1">
        <f t="array" aca="1" ref="L48" ca="1">_xlfn.XLOOKUP(Assignments[[#This Row],[Company ID]], INDIRECT("'"&amp;Assignments[[#This Row],[Coordinator]]&amp;"'!$B:$B"), INDIRECT("'"&amp;Assignments[[#This Row],[Coordinator]]&amp;"'!$L:$L"), "")</f>
        <v>0</v>
      </c>
    </row>
    <row r="49" spans="1:12" ht="30" customHeight="1" x14ac:dyDescent="0.25">
      <c r="A49" t="s">
        <v>9</v>
      </c>
      <c r="B49" s="2">
        <v>121464</v>
      </c>
      <c r="C49" t="s">
        <v>138</v>
      </c>
      <c r="D49" s="1" t="s">
        <v>118</v>
      </c>
      <c r="E49" t="b">
        <v>1</v>
      </c>
      <c r="F49" s="5">
        <v>432000</v>
      </c>
      <c r="G49" t="s">
        <v>139</v>
      </c>
      <c r="H49" t="s">
        <v>140</v>
      </c>
      <c r="I49" s="1" t="s">
        <v>141</v>
      </c>
      <c r="J49" s="60" t="str" cm="1">
        <f t="array" aca="1" ref="J49" ca="1">_xlfn.XLOOKUP(Assignments[[#This Row],[Company ID]], INDIRECT("'"&amp;Assignments[[#This Row],[Coordinator]]&amp;"'!$B:$B"), INDIRECT("'"&amp;Assignments[[#This Row],[Coordinator]]&amp;"'!$J:$J"), "")</f>
        <v>The spend authorization was the last piece and it cleared review this Thursday. COI, W-9, and Spend authorization are all validated. Vendor activated and notified.</v>
      </c>
      <c r="K49" s="12" t="str" cm="1">
        <f t="array" aca="1" ref="K49" ca="1">_xlfn.XLOOKUP(Assignments[[#This Row],[Company ID]], INDIRECT("'"&amp;Assignments[[#This Row],[Coordinator]]&amp;"'!$B:$B"), INDIRECT("'"&amp;Assignments[[#This Row],[Coordinator]]&amp;"'!$K:$K"), "")</f>
        <v>Completion</v>
      </c>
      <c r="L49" s="12" t="b" cm="1">
        <f t="array" aca="1" ref="L49" ca="1">_xlfn.XLOOKUP(Assignments[[#This Row],[Company ID]], INDIRECT("'"&amp;Assignments[[#This Row],[Coordinator]]&amp;"'!$B:$B"), INDIRECT("'"&amp;Assignments[[#This Row],[Coordinator]]&amp;"'!$L:$L"), "")</f>
        <v>1</v>
      </c>
    </row>
    <row r="50" spans="1:12" ht="30" customHeight="1" x14ac:dyDescent="0.25">
      <c r="A50" t="s">
        <v>9</v>
      </c>
      <c r="B50" s="2">
        <v>580486</v>
      </c>
      <c r="C50" t="s">
        <v>142</v>
      </c>
      <c r="D50" s="1" t="s">
        <v>143</v>
      </c>
      <c r="E50" t="b">
        <v>1</v>
      </c>
      <c r="F50" s="5">
        <v>121300</v>
      </c>
      <c r="G50" t="s">
        <v>144</v>
      </c>
      <c r="H50" t="s">
        <v>145</v>
      </c>
      <c r="I50" s="1" t="s">
        <v>146</v>
      </c>
      <c r="J50" s="60" t="str" cm="1">
        <f t="array" aca="1" ref="J50" ca="1">_xlfn.XLOOKUP(Assignments[[#This Row],[Company ID]], INDIRECT("'"&amp;Assignments[[#This Row],[Coordinator]]&amp;"'!$B:$B"), INDIRECT("'"&amp;Assignments[[#This Row],[Coordinator]]&amp;"'!$J:$J"), "")</f>
        <v>All onboarding documents — COI, W-9, and Spend authorization — are received and verified, with the W-9 arriving last. Compliance review passed with no exceptions. Vendor is fully onboarded and cleared for service.</v>
      </c>
      <c r="K50" s="12" t="str" cm="1">
        <f t="array" aca="1" ref="K50" ca="1">_xlfn.XLOOKUP(Assignments[[#This Row],[Company ID]], INDIRECT("'"&amp;Assignments[[#This Row],[Coordinator]]&amp;"'!$B:$B"), INDIRECT("'"&amp;Assignments[[#This Row],[Coordinator]]&amp;"'!$K:$K"), "")</f>
        <v>Completion</v>
      </c>
      <c r="L50" s="12" t="b" cm="1">
        <f t="array" aca="1" ref="L50" ca="1">_xlfn.XLOOKUP(Assignments[[#This Row],[Company ID]], INDIRECT("'"&amp;Assignments[[#This Row],[Coordinator]]&amp;"'!$B:$B"), INDIRECT("'"&amp;Assignments[[#This Row],[Coordinator]]&amp;"'!$L:$L"), "")</f>
        <v>1</v>
      </c>
    </row>
    <row r="51" spans="1:12" ht="30" customHeight="1" x14ac:dyDescent="0.25">
      <c r="A51" t="s">
        <v>9</v>
      </c>
      <c r="B51" s="2">
        <v>888377</v>
      </c>
      <c r="C51" t="s">
        <v>147</v>
      </c>
      <c r="D51" s="1" t="s">
        <v>143</v>
      </c>
      <c r="E51" t="b">
        <v>1</v>
      </c>
      <c r="F51" s="5">
        <v>46800</v>
      </c>
      <c r="G51" t="s">
        <v>148</v>
      </c>
      <c r="H51" t="s">
        <v>149</v>
      </c>
      <c r="I51" s="1" t="s">
        <v>150</v>
      </c>
      <c r="J51" s="60" t="str" cm="1">
        <f t="array" aca="1" ref="J51" ca="1">_xlfn.XLOOKUP(Assignments[[#This Row],[Company ID]], INDIRECT("'"&amp;Assignments[[#This Row],[Coordinator]]&amp;"'!$B:$B"), INDIRECT("'"&amp;Assignments[[#This Row],[Coordinator]]&amp;"'!$J:$J"), "")</f>
        <v>Everything is in — the W-9 arrived this Monday and matched our records. Contact was proactive throughout. Onboarding complete.</v>
      </c>
      <c r="K51" s="12" t="str" cm="1">
        <f t="array" aca="1" ref="K51" ca="1">_xlfn.XLOOKUP(Assignments[[#This Row],[Company ID]], INDIRECT("'"&amp;Assignments[[#This Row],[Coordinator]]&amp;"'!$B:$B"), INDIRECT("'"&amp;Assignments[[#This Row],[Coordinator]]&amp;"'!$K:$K"), "")</f>
        <v>Completion</v>
      </c>
      <c r="L51" s="12" t="b" cm="1">
        <f t="array" aca="1" ref="L51" ca="1">_xlfn.XLOOKUP(Assignments[[#This Row],[Company ID]], INDIRECT("'"&amp;Assignments[[#This Row],[Coordinator]]&amp;"'!$B:$B"), INDIRECT("'"&amp;Assignments[[#This Row],[Coordinator]]&amp;"'!$L:$L"), "")</f>
        <v>1</v>
      </c>
    </row>
    <row r="52" spans="1:12" ht="30" customHeight="1" x14ac:dyDescent="0.25">
      <c r="A52" t="s">
        <v>9</v>
      </c>
      <c r="B52" s="2">
        <v>279027</v>
      </c>
      <c r="C52" t="s">
        <v>151</v>
      </c>
      <c r="D52" s="1" t="s">
        <v>143</v>
      </c>
      <c r="E52" t="b">
        <v>1</v>
      </c>
      <c r="F52" s="5">
        <v>20200</v>
      </c>
      <c r="G52" t="s">
        <v>152</v>
      </c>
      <c r="H52" t="s">
        <v>153</v>
      </c>
      <c r="I52" s="1" t="s">
        <v>154</v>
      </c>
      <c r="J52" s="60" t="str" cm="1">
        <f t="array" aca="1" ref="J52" ca="1">_xlfn.XLOOKUP(Assignments[[#This Row],[Company ID]], INDIRECT("'"&amp;Assignments[[#This Row],[Coordinator]]&amp;"'!$B:$B"), INDIRECT("'"&amp;Assignments[[#This Row],[Coordinator]]&amp;"'!$J:$J"), "")</f>
        <v>Full document set received and reconciled against the master vendor record; the W-9 needed a quick correction, now resolved. No further discrepancies found. Onboarding officially complete.</v>
      </c>
      <c r="K52" s="12" t="str" cm="1">
        <f t="array" aca="1" ref="K52" ca="1">_xlfn.XLOOKUP(Assignments[[#This Row],[Company ID]], INDIRECT("'"&amp;Assignments[[#This Row],[Coordinator]]&amp;"'!$B:$B"), INDIRECT("'"&amp;Assignments[[#This Row],[Coordinator]]&amp;"'!$K:$K"), "")</f>
        <v>Completion</v>
      </c>
      <c r="L52" s="12" t="b" cm="1">
        <f t="array" aca="1" ref="L52" ca="1">_xlfn.XLOOKUP(Assignments[[#This Row],[Company ID]], INDIRECT("'"&amp;Assignments[[#This Row],[Coordinator]]&amp;"'!$B:$B"), INDIRECT("'"&amp;Assignments[[#This Row],[Coordinator]]&amp;"'!$L:$L"), "")</f>
        <v>1</v>
      </c>
    </row>
    <row r="53" spans="1:12" ht="30" customHeight="1" x14ac:dyDescent="0.25">
      <c r="A53" t="s">
        <v>9</v>
      </c>
      <c r="B53" s="2">
        <v>261365</v>
      </c>
      <c r="C53" t="s">
        <v>155</v>
      </c>
      <c r="D53" s="1" t="s">
        <v>143</v>
      </c>
      <c r="E53" t="b">
        <v>1</v>
      </c>
      <c r="F53" s="5">
        <v>255700</v>
      </c>
      <c r="G53" t="s">
        <v>156</v>
      </c>
      <c r="H53" t="s">
        <v>157</v>
      </c>
      <c r="I53" s="1" t="s">
        <v>158</v>
      </c>
      <c r="J53" s="60" t="str" cm="1">
        <f t="array" aca="1" ref="J53" ca="1">_xlfn.XLOOKUP(Assignments[[#This Row],[Company ID]], INDIRECT("'"&amp;Assignments[[#This Row],[Coordinator]]&amp;"'!$B:$B"), INDIRECT("'"&amp;Assignments[[#This Row],[Coordinator]]&amp;"'!$J:$J"), "")</f>
        <v>Onboarding finalized after a short verification call this Tuesday. Every document is signed, dated, and on file. Ready for service assignment.</v>
      </c>
      <c r="K53" s="12" t="str" cm="1">
        <f t="array" aca="1" ref="K53" ca="1">_xlfn.XLOOKUP(Assignments[[#This Row],[Company ID]], INDIRECT("'"&amp;Assignments[[#This Row],[Coordinator]]&amp;"'!$B:$B"), INDIRECT("'"&amp;Assignments[[#This Row],[Coordinator]]&amp;"'!$K:$K"), "")</f>
        <v>Completion</v>
      </c>
      <c r="L53" s="12" t="b" cm="1">
        <f t="array" aca="1" ref="L53" ca="1">_xlfn.XLOOKUP(Assignments[[#This Row],[Company ID]], INDIRECT("'"&amp;Assignments[[#This Row],[Coordinator]]&amp;"'!$B:$B"), INDIRECT("'"&amp;Assignments[[#This Row],[Coordinator]]&amp;"'!$L:$L"), "")</f>
        <v>1</v>
      </c>
    </row>
    <row r="54" spans="1:12" ht="30" customHeight="1" x14ac:dyDescent="0.25">
      <c r="A54" t="s">
        <v>9</v>
      </c>
      <c r="B54" s="2">
        <v>957873</v>
      </c>
      <c r="C54" t="s">
        <v>159</v>
      </c>
      <c r="D54" s="1" t="s">
        <v>160</v>
      </c>
      <c r="E54" t="b">
        <v>1</v>
      </c>
      <c r="F54" s="5">
        <v>124600</v>
      </c>
      <c r="G54" t="s">
        <v>161</v>
      </c>
      <c r="H54" t="s">
        <v>162</v>
      </c>
      <c r="I54" s="1" t="s">
        <v>163</v>
      </c>
      <c r="J54" s="60" t="str" cm="1">
        <f t="array" aca="1" ref="J54" ca="1">_xlfn.XLOOKUP(Assignments[[#This Row],[Company ID]], INDIRECT("'"&amp;Assignments[[#This Row],[Coordinator]]&amp;"'!$B:$B"), INDIRECT("'"&amp;Assignments[[#This Row],[Coordinator]]&amp;"'!$J:$J"), "")</f>
        <v>Documents delayed — an insurance renewal still in process. Contact confirmed the item is in progress. Monitoring and following up Wednesday.</v>
      </c>
      <c r="K54" s="12" t="str" cm="1">
        <f t="array" aca="1" ref="K54" ca="1">_xlfn.XLOOKUP(Assignments[[#This Row],[Company ID]], INDIRECT("'"&amp;Assignments[[#This Row],[Coordinator]]&amp;"'!$B:$B"), INDIRECT("'"&amp;Assignments[[#This Row],[Coordinator]]&amp;"'!$K:$K"), "")</f>
        <v>Delayed</v>
      </c>
      <c r="L54" s="12" t="str" cm="1">
        <f t="array" aca="1" ref="L54" ca="1">_xlfn.XLOOKUP(Assignments[[#This Row],[Company ID]], INDIRECT("'"&amp;Assignments[[#This Row],[Coordinator]]&amp;"'!$B:$B"), INDIRECT("'"&amp;Assignments[[#This Row],[Coordinator]]&amp;"'!$L:$L"), "")</f>
        <v>RECEIVED</v>
      </c>
    </row>
    <row r="55" spans="1:12" ht="30" customHeight="1" x14ac:dyDescent="0.25">
      <c r="A55" t="s">
        <v>9</v>
      </c>
      <c r="B55" s="2">
        <v>257122</v>
      </c>
      <c r="C55" t="s">
        <v>164</v>
      </c>
      <c r="D55" s="1" t="s">
        <v>160</v>
      </c>
      <c r="E55" t="b">
        <v>1</v>
      </c>
      <c r="F55" s="5">
        <v>82600</v>
      </c>
      <c r="G55" t="s">
        <v>165</v>
      </c>
      <c r="H55" t="s">
        <v>166</v>
      </c>
      <c r="I55" s="1" t="s">
        <v>167</v>
      </c>
      <c r="J55" s="60" t="str" cm="1">
        <f t="array" aca="1" ref="J55" ca="1">_xlfn.XLOOKUP(Assignments[[#This Row],[Company ID]], INDIRECT("'"&amp;Assignments[[#This Row],[Coordinator]]&amp;"'!$B:$B"), INDIRECT("'"&amp;Assignments[[#This Row],[Coordinator]]&amp;"'!$J:$J"), "")</f>
        <v>All three required documents were approved on first pass, the COI included. The Certificate of Insurance names the arena as additional insured, as required. Vendor is good to go.</v>
      </c>
      <c r="K55" s="12" t="str" cm="1">
        <f t="array" aca="1" ref="K55" ca="1">_xlfn.XLOOKUP(Assignments[[#This Row],[Company ID]], INDIRECT("'"&amp;Assignments[[#This Row],[Coordinator]]&amp;"'!$B:$B"), INDIRECT("'"&amp;Assignments[[#This Row],[Coordinator]]&amp;"'!$K:$K"), "")</f>
        <v>Completion</v>
      </c>
      <c r="L55" s="12" t="b" cm="1">
        <f t="array" aca="1" ref="L55" ca="1">_xlfn.XLOOKUP(Assignments[[#This Row],[Company ID]], INDIRECT("'"&amp;Assignments[[#This Row],[Coordinator]]&amp;"'!$B:$B"), INDIRECT("'"&amp;Assignments[[#This Row],[Coordinator]]&amp;"'!$L:$L"), "")</f>
        <v>1</v>
      </c>
    </row>
    <row r="56" spans="1:12" ht="30" customHeight="1" x14ac:dyDescent="0.25">
      <c r="A56" t="s">
        <v>9</v>
      </c>
      <c r="B56" s="2">
        <v>796147</v>
      </c>
      <c r="C56" t="s">
        <v>168</v>
      </c>
      <c r="D56" s="1" t="s">
        <v>160</v>
      </c>
      <c r="E56" t="b">
        <v>1</v>
      </c>
      <c r="F56" s="5">
        <v>148500</v>
      </c>
      <c r="G56" t="s">
        <v>169</v>
      </c>
      <c r="H56" t="s">
        <v>170</v>
      </c>
      <c r="I56" s="1" t="s">
        <v>171</v>
      </c>
      <c r="J56" s="60" t="str" cm="1">
        <f t="array" aca="1" ref="J56" ca="1">_xlfn.XLOOKUP(Assignments[[#This Row],[Company ID]], INDIRECT("'"&amp;Assignments[[#This Row],[Coordinator]]&amp;"'!$B:$B"), INDIRECT("'"&amp;Assignments[[#This Row],[Coordinator]]&amp;"'!$J:$J"), "")</f>
        <v>The coi received and verified; the W-9 and the Spend authorization still outstanding. Contact confirmed the remainder will be submitted by Friday. Following up then.</v>
      </c>
      <c r="K56" s="12" t="str" cm="1">
        <f t="array" aca="1" ref="K56" ca="1">_xlfn.XLOOKUP(Assignments[[#This Row],[Company ID]], INDIRECT("'"&amp;Assignments[[#This Row],[Coordinator]]&amp;"'!$B:$B"), INDIRECT("'"&amp;Assignments[[#This Row],[Coordinator]]&amp;"'!$K:$K"), "")</f>
        <v>Received</v>
      </c>
      <c r="L56" s="12" t="str" cm="1">
        <f t="array" aca="1" ref="L56" ca="1">_xlfn.XLOOKUP(Assignments[[#This Row],[Company ID]], INDIRECT("'"&amp;Assignments[[#This Row],[Coordinator]]&amp;"'!$B:$B"), INDIRECT("'"&amp;Assignments[[#This Row],[Coordinator]]&amp;"'!$L:$L"), "")</f>
        <v>RECEIVED</v>
      </c>
    </row>
    <row r="57" spans="1:12" ht="30" customHeight="1" x14ac:dyDescent="0.25">
      <c r="A57" t="s">
        <v>9</v>
      </c>
      <c r="B57" s="2">
        <v>595959</v>
      </c>
      <c r="C57" t="s">
        <v>172</v>
      </c>
      <c r="D57" s="1" t="s">
        <v>160</v>
      </c>
      <c r="E57" t="b">
        <v>1</v>
      </c>
      <c r="F57" s="5">
        <v>169800</v>
      </c>
      <c r="G57" t="s">
        <v>173</v>
      </c>
      <c r="H57" t="s">
        <v>174</v>
      </c>
      <c r="I57" s="1" t="s">
        <v>175</v>
      </c>
      <c r="J57" s="60" t="str" cm="1">
        <f t="array" aca="1" ref="J57" ca="1">_xlfn.XLOOKUP(Assignments[[#This Row],[Company ID]], INDIRECT("'"&amp;Assignments[[#This Row],[Coordinator]]&amp;"'!$B:$B"), INDIRECT("'"&amp;Assignments[[#This Row],[Coordinator]]&amp;"'!$J:$J"), "")</f>
        <v>Packet complete after the W-9 was uploaded, closing the final open item. Documents were cross-checked against contract requirements and approved. Vendor moved to active status.</v>
      </c>
      <c r="K57" s="12" t="str" cm="1">
        <f t="array" aca="1" ref="K57" ca="1">_xlfn.XLOOKUP(Assignments[[#This Row],[Company ID]], INDIRECT("'"&amp;Assignments[[#This Row],[Coordinator]]&amp;"'!$B:$B"), INDIRECT("'"&amp;Assignments[[#This Row],[Coordinator]]&amp;"'!$K:$K"), "")</f>
        <v>Completion</v>
      </c>
      <c r="L57" s="12" t="b" cm="1">
        <f t="array" aca="1" ref="L57" ca="1">_xlfn.XLOOKUP(Assignments[[#This Row],[Company ID]], INDIRECT("'"&amp;Assignments[[#This Row],[Coordinator]]&amp;"'!$B:$B"), INDIRECT("'"&amp;Assignments[[#This Row],[Coordinator]]&amp;"'!$L:$L"), "")</f>
        <v>1</v>
      </c>
    </row>
    <row r="58" spans="1:12" ht="30" customHeight="1" x14ac:dyDescent="0.25">
      <c r="A58" t="s">
        <v>9</v>
      </c>
      <c r="B58" s="2">
        <v>494271</v>
      </c>
      <c r="C58" t="s">
        <v>176</v>
      </c>
      <c r="D58" s="1" t="s">
        <v>160</v>
      </c>
      <c r="E58" t="b">
        <v>1</v>
      </c>
      <c r="F58" s="5">
        <v>132400</v>
      </c>
      <c r="G58" t="s">
        <v>177</v>
      </c>
      <c r="H58" t="s">
        <v>178</v>
      </c>
      <c r="I58" s="1" t="s">
        <v>179</v>
      </c>
      <c r="J58" s="60" t="str" cm="1">
        <f t="array" aca="1" ref="J58" ca="1">_xlfn.XLOOKUP(Assignments[[#This Row],[Company ID]], INDIRECT("'"&amp;Assignments[[#This Row],[Coordinator]]&amp;"'!$B:$B"), INDIRECT("'"&amp;Assignments[[#This Row],[Coordinator]]&amp;"'!$J:$J"), "")</f>
        <v>Full document set received and reconciled against the master vendor record; the W-9 needed a quick correction, now resolved. No further discrepancies found. Onboarding officially complete.</v>
      </c>
      <c r="K58" s="12" t="str" cm="1">
        <f t="array" aca="1" ref="K58" ca="1">_xlfn.XLOOKUP(Assignments[[#This Row],[Company ID]], INDIRECT("'"&amp;Assignments[[#This Row],[Coordinator]]&amp;"'!$B:$B"), INDIRECT("'"&amp;Assignments[[#This Row],[Coordinator]]&amp;"'!$K:$K"), "")</f>
        <v>Completion</v>
      </c>
      <c r="L58" s="12" t="b" cm="1">
        <f t="array" aca="1" ref="L58" ca="1">_xlfn.XLOOKUP(Assignments[[#This Row],[Company ID]], INDIRECT("'"&amp;Assignments[[#This Row],[Coordinator]]&amp;"'!$B:$B"), INDIRECT("'"&amp;Assignments[[#This Row],[Coordinator]]&amp;"'!$L:$L"), "")</f>
        <v>1</v>
      </c>
    </row>
    <row r="59" spans="1:12" ht="30" customHeight="1" x14ac:dyDescent="0.25">
      <c r="A59" t="s">
        <v>9</v>
      </c>
      <c r="B59" s="2">
        <v>296292</v>
      </c>
      <c r="C59" t="s">
        <v>180</v>
      </c>
      <c r="D59" s="1" t="s">
        <v>160</v>
      </c>
      <c r="E59" t="b">
        <v>1</v>
      </c>
      <c r="F59" s="5">
        <v>201200</v>
      </c>
      <c r="G59" t="s">
        <v>181</v>
      </c>
      <c r="H59" t="s">
        <v>182</v>
      </c>
      <c r="I59" s="1" t="s">
        <v>183</v>
      </c>
      <c r="J59" s="60" t="str" cm="1">
        <f t="array" aca="1" ref="J59" ca="1">_xlfn.XLOOKUP(Assignments[[#This Row],[Company ID]], INDIRECT("'"&amp;Assignments[[#This Row],[Coordinator]]&amp;"'!$B:$B"), INDIRECT("'"&amp;Assignments[[#This Row],[Coordinator]]&amp;"'!$J:$J"), "")</f>
        <v>Received and accepted the Spend authorization, closing out the packet. No exceptions in compliance review. Vendor status set to active.</v>
      </c>
      <c r="K59" s="12" t="str" cm="1">
        <f t="array" aca="1" ref="K59" ca="1">_xlfn.XLOOKUP(Assignments[[#This Row],[Company ID]], INDIRECT("'"&amp;Assignments[[#This Row],[Coordinator]]&amp;"'!$B:$B"), INDIRECT("'"&amp;Assignments[[#This Row],[Coordinator]]&amp;"'!$K:$K"), "")</f>
        <v>Completion</v>
      </c>
      <c r="L59" s="12" t="b" cm="1">
        <f t="array" aca="1" ref="L59" ca="1">_xlfn.XLOOKUP(Assignments[[#This Row],[Company ID]], INDIRECT("'"&amp;Assignments[[#This Row],[Coordinator]]&amp;"'!$B:$B"), INDIRECT("'"&amp;Assignments[[#This Row],[Coordinator]]&amp;"'!$L:$L"), "")</f>
        <v>1</v>
      </c>
    </row>
    <row r="60" spans="1:12" ht="30" customHeight="1" x14ac:dyDescent="0.25">
      <c r="A60" t="s">
        <v>9</v>
      </c>
      <c r="B60" s="2">
        <v>112046</v>
      </c>
      <c r="C60" t="s">
        <v>184</v>
      </c>
      <c r="D60" s="1" t="s">
        <v>185</v>
      </c>
      <c r="E60" t="b">
        <v>1</v>
      </c>
      <c r="F60" s="5">
        <v>70900</v>
      </c>
      <c r="G60" t="s">
        <v>186</v>
      </c>
      <c r="H60" t="s">
        <v>187</v>
      </c>
      <c r="I60" s="1" t="s">
        <v>188</v>
      </c>
      <c r="J60" s="60" t="str" cm="1">
        <f t="array" aca="1" ref="J60" ca="1">_xlfn.XLOOKUP(Assignments[[#This Row],[Company ID]], INDIRECT("'"&amp;Assignments[[#This Row],[Coordinator]]&amp;"'!$B:$B"), INDIRECT("'"&amp;Assignments[[#This Row],[Coordinator]]&amp;"'!$J:$J"), "")</f>
        <v>The coi held up because of a legal entity name change working through their system. Contact is actively working it and apologized for the lag. New target is Tuesday.</v>
      </c>
      <c r="K60" s="12" t="str" cm="1">
        <f t="array" aca="1" ref="K60" ca="1">_xlfn.XLOOKUP(Assignments[[#This Row],[Company ID]], INDIRECT("'"&amp;Assignments[[#This Row],[Coordinator]]&amp;"'!$B:$B"), INDIRECT("'"&amp;Assignments[[#This Row],[Coordinator]]&amp;"'!$K:$K"), "")</f>
        <v>Delayed</v>
      </c>
      <c r="L60" s="12" t="b" cm="1">
        <f t="array" aca="1" ref="L60" ca="1">_xlfn.XLOOKUP(Assignments[[#This Row],[Company ID]], INDIRECT("'"&amp;Assignments[[#This Row],[Coordinator]]&amp;"'!$B:$B"), INDIRECT("'"&amp;Assignments[[#This Row],[Coordinator]]&amp;"'!$L:$L"), "")</f>
        <v>0</v>
      </c>
    </row>
    <row r="61" spans="1:12" ht="30" customHeight="1" x14ac:dyDescent="0.25">
      <c r="A61" t="s">
        <v>9</v>
      </c>
      <c r="B61" s="2">
        <v>766274</v>
      </c>
      <c r="C61" t="s">
        <v>189</v>
      </c>
      <c r="D61" s="1" t="s">
        <v>185</v>
      </c>
      <c r="E61" t="b">
        <v>1</v>
      </c>
      <c r="F61" s="5">
        <v>635500</v>
      </c>
      <c r="G61" t="s">
        <v>190</v>
      </c>
      <c r="H61" t="s">
        <v>191</v>
      </c>
      <c r="I61" s="1" t="s">
        <v>192</v>
      </c>
      <c r="J61" s="60" t="str" cm="1">
        <f t="array" aca="1" ref="J61" ca="1">_xlfn.XLOOKUP(Assignments[[#This Row],[Company ID]], INDIRECT("'"&amp;Assignments[[#This Row],[Coordinator]]&amp;"'!$B:$B"), INDIRECT("'"&amp;Assignments[[#This Row],[Coordinator]]&amp;"'!$J:$J"), "")</f>
        <v>Contact uploaded the COI and the Spend authorization; the W-9 to follow once signed. Communication has been solid. Next check-in next week.</v>
      </c>
      <c r="K61" s="12" t="str" cm="1">
        <f t="array" aca="1" ref="K61" ca="1">_xlfn.XLOOKUP(Assignments[[#This Row],[Company ID]], INDIRECT("'"&amp;Assignments[[#This Row],[Coordinator]]&amp;"'!$B:$B"), INDIRECT("'"&amp;Assignments[[#This Row],[Coordinator]]&amp;"'!$K:$K"), "")</f>
        <v>Received</v>
      </c>
      <c r="L61" s="12" t="str" cm="1">
        <f t="array" aca="1" ref="L61" ca="1">_xlfn.XLOOKUP(Assignments[[#This Row],[Company ID]], INDIRECT("'"&amp;Assignments[[#This Row],[Coordinator]]&amp;"'!$B:$B"), INDIRECT("'"&amp;Assignments[[#This Row],[Coordinator]]&amp;"'!$L:$L"), "")</f>
        <v>RECEIVED</v>
      </c>
    </row>
    <row r="62" spans="1:12" ht="30" customHeight="1" x14ac:dyDescent="0.25">
      <c r="A62" t="s">
        <v>9</v>
      </c>
      <c r="B62" s="2">
        <v>508260</v>
      </c>
      <c r="C62" t="s">
        <v>193</v>
      </c>
      <c r="D62" s="1" t="s">
        <v>185</v>
      </c>
      <c r="E62" t="b">
        <v>1</v>
      </c>
      <c r="F62" s="5">
        <v>415800</v>
      </c>
      <c r="G62" t="s">
        <v>194</v>
      </c>
      <c r="H62" t="s">
        <v>195</v>
      </c>
      <c r="I62" s="1" t="s">
        <v>196</v>
      </c>
      <c r="J62" s="60" t="str" cm="1">
        <f t="array" aca="1" ref="J62" ca="1">_xlfn.XLOOKUP(Assignments[[#This Row],[Company ID]], INDIRECT("'"&amp;Assignments[[#This Row],[Coordinator]]&amp;"'!$B:$B"), INDIRECT("'"&amp;Assignments[[#This Row],[Coordinator]]&amp;"'!$J:$J"), "")</f>
        <v>Received and accepted the COI, closing out the packet. No exceptions in compliance review. Vendor status set to active.</v>
      </c>
      <c r="K62" s="12" t="str" cm="1">
        <f t="array" aca="1" ref="K62" ca="1">_xlfn.XLOOKUP(Assignments[[#This Row],[Company ID]], INDIRECT("'"&amp;Assignments[[#This Row],[Coordinator]]&amp;"'!$B:$B"), INDIRECT("'"&amp;Assignments[[#This Row],[Coordinator]]&amp;"'!$K:$K"), "")</f>
        <v>Completion</v>
      </c>
      <c r="L62" s="12" t="b" cm="1">
        <f t="array" aca="1" ref="L62" ca="1">_xlfn.XLOOKUP(Assignments[[#This Row],[Company ID]], INDIRECT("'"&amp;Assignments[[#This Row],[Coordinator]]&amp;"'!$B:$B"), INDIRECT("'"&amp;Assignments[[#This Row],[Coordinator]]&amp;"'!$L:$L"), "")</f>
        <v>1</v>
      </c>
    </row>
    <row r="63" spans="1:12" ht="30" customHeight="1" x14ac:dyDescent="0.25">
      <c r="A63" t="s">
        <v>9</v>
      </c>
      <c r="B63" s="2">
        <v>753622</v>
      </c>
      <c r="C63" t="s">
        <v>197</v>
      </c>
      <c r="D63" s="1" t="s">
        <v>185</v>
      </c>
      <c r="E63" t="b">
        <v>1</v>
      </c>
      <c r="F63" s="5">
        <v>497400</v>
      </c>
      <c r="G63" t="s">
        <v>198</v>
      </c>
      <c r="H63" t="s">
        <v>199</v>
      </c>
      <c r="I63" s="1" t="s">
        <v>200</v>
      </c>
      <c r="J63" s="60" t="str" cm="1">
        <f t="array" aca="1" ref="J63" ca="1">_xlfn.XLOOKUP(Assignments[[#This Row],[Company ID]], INDIRECT("'"&amp;Assignments[[#This Row],[Coordinator]]&amp;"'!$B:$B"), INDIRECT("'"&amp;Assignments[[#This Row],[Coordinator]]&amp;"'!$J:$J"), "")</f>
        <v>Partial packet in — the W-9 and the Spend authorization on file and within requirements. Awaiting the COI from the vendor's team. Reminder set for next week.</v>
      </c>
      <c r="K63" s="12" t="str" cm="1">
        <f t="array" aca="1" ref="K63" ca="1">_xlfn.XLOOKUP(Assignments[[#This Row],[Company ID]], INDIRECT("'"&amp;Assignments[[#This Row],[Coordinator]]&amp;"'!$B:$B"), INDIRECT("'"&amp;Assignments[[#This Row],[Coordinator]]&amp;"'!$K:$K"), "")</f>
        <v>Received</v>
      </c>
      <c r="L63" s="12" t="str" cm="1">
        <f t="array" aca="1" ref="L63" ca="1">_xlfn.XLOOKUP(Assignments[[#This Row],[Company ID]], INDIRECT("'"&amp;Assignments[[#This Row],[Coordinator]]&amp;"'!$B:$B"), INDIRECT("'"&amp;Assignments[[#This Row],[Coordinator]]&amp;"'!$L:$L"), "")</f>
        <v>RECEIVED</v>
      </c>
    </row>
    <row r="64" spans="1:12" ht="30" customHeight="1" x14ac:dyDescent="0.25">
      <c r="A64" t="s">
        <v>9</v>
      </c>
      <c r="B64" s="2">
        <v>291314</v>
      </c>
      <c r="C64" t="s">
        <v>201</v>
      </c>
      <c r="D64" s="1" t="s">
        <v>185</v>
      </c>
      <c r="E64" t="b">
        <v>1</v>
      </c>
      <c r="F64" s="5">
        <v>624600</v>
      </c>
      <c r="G64" t="s">
        <v>202</v>
      </c>
      <c r="H64" t="s">
        <v>203</v>
      </c>
      <c r="I64" s="1" t="s">
        <v>204</v>
      </c>
      <c r="J64" s="60" t="str" cm="1">
        <f t="array" aca="1" ref="J64" ca="1">_xlfn.XLOOKUP(Assignments[[#This Row],[Company ID]], INDIRECT("'"&amp;Assignments[[#This Row],[Coordinator]]&amp;"'!$B:$B"), INDIRECT("'"&amp;Assignments[[#This Row],[Coordinator]]&amp;"'!$J:$J"), "")</f>
        <v>All onboarding documents — COI, W-9, and Spend authorization — are received and verified, with the COI arriving last. Compliance review passed with no exceptions. Vendor is fully onboarded and cleared for service.</v>
      </c>
      <c r="K64" s="12" t="str" cm="1">
        <f t="array" aca="1" ref="K64" ca="1">_xlfn.XLOOKUP(Assignments[[#This Row],[Company ID]], INDIRECT("'"&amp;Assignments[[#This Row],[Coordinator]]&amp;"'!$B:$B"), INDIRECT("'"&amp;Assignments[[#This Row],[Coordinator]]&amp;"'!$K:$K"), "")</f>
        <v>Completion</v>
      </c>
      <c r="L64" s="12" t="b" cm="1">
        <f t="array" aca="1" ref="L64" ca="1">_xlfn.XLOOKUP(Assignments[[#This Row],[Company ID]], INDIRECT("'"&amp;Assignments[[#This Row],[Coordinator]]&amp;"'!$B:$B"), INDIRECT("'"&amp;Assignments[[#This Row],[Coordinator]]&amp;"'!$L:$L"), "")</f>
        <v>1</v>
      </c>
    </row>
    <row r="65" spans="1:12" ht="30" customHeight="1" x14ac:dyDescent="0.25">
      <c r="A65" t="s">
        <v>9</v>
      </c>
      <c r="B65" s="2">
        <v>408673</v>
      </c>
      <c r="C65" t="s">
        <v>205</v>
      </c>
      <c r="D65" s="1" t="s">
        <v>206</v>
      </c>
      <c r="E65" t="b">
        <v>0</v>
      </c>
      <c r="F65" s="5">
        <v>29600</v>
      </c>
      <c r="G65" t="s">
        <v>207</v>
      </c>
      <c r="H65" t="s">
        <v>208</v>
      </c>
      <c r="I65" s="1" t="s">
        <v>209</v>
      </c>
      <c r="J65" s="60" t="str" cm="1">
        <f t="array" aca="1" ref="J65" ca="1">_xlfn.XLOOKUP(Assignments[[#This Row],[Company ID]], INDIRECT("'"&amp;Assignments[[#This Row],[Coordinator]]&amp;"'!$B:$B"), INDIRECT("'"&amp;Assignments[[#This Row],[Coordinator]]&amp;"'!$J:$J"), "")</f>
        <v>Good progress — the COI confirmed and filed. The w-9 and the spend authorization sits in the vendor's internal approval queue, expected by Friday. No concerns yet.</v>
      </c>
      <c r="K65" s="12" t="str" cm="1">
        <f t="array" aca="1" ref="K65" ca="1">_xlfn.XLOOKUP(Assignments[[#This Row],[Company ID]], INDIRECT("'"&amp;Assignments[[#This Row],[Coordinator]]&amp;"'!$B:$B"), INDIRECT("'"&amp;Assignments[[#This Row],[Coordinator]]&amp;"'!$K:$K"), "")</f>
        <v>Received</v>
      </c>
      <c r="L65" s="12" t="str" cm="1">
        <f t="array" aca="1" ref="L65" ca="1">_xlfn.XLOOKUP(Assignments[[#This Row],[Company ID]], INDIRECT("'"&amp;Assignments[[#This Row],[Coordinator]]&amp;"'!$B:$B"), INDIRECT("'"&amp;Assignments[[#This Row],[Coordinator]]&amp;"'!$L:$L"), "")</f>
        <v>RECEIVED</v>
      </c>
    </row>
    <row r="66" spans="1:12" ht="30" customHeight="1" x14ac:dyDescent="0.25">
      <c r="A66" t="s">
        <v>9</v>
      </c>
      <c r="B66" s="2">
        <v>247732</v>
      </c>
      <c r="C66" t="s">
        <v>210</v>
      </c>
      <c r="D66" s="1" t="s">
        <v>211</v>
      </c>
      <c r="E66" t="b">
        <v>0</v>
      </c>
      <c r="F66" s="5">
        <v>10200</v>
      </c>
      <c r="G66" t="s">
        <v>212</v>
      </c>
      <c r="H66" t="s">
        <v>213</v>
      </c>
      <c r="I66" s="1" t="s">
        <v>214</v>
      </c>
      <c r="J66" s="60" t="str" cm="1">
        <f t="array" aca="1" ref="J66" ca="1">_xlfn.XLOOKUP(Assignments[[#This Row],[Company ID]], INDIRECT("'"&amp;Assignments[[#This Row],[Coordinator]]&amp;"'!$B:$B"), INDIRECT("'"&amp;Assignments[[#This Row],[Coordinator]]&amp;"'!$J:$J"), "")</f>
        <v>Good progress — the W-9 and the Spend authorization confirmed and filed. The coi sits in the vendor's internal approval queue, expected by Friday. No concerns yet.</v>
      </c>
      <c r="K66" s="12" t="str" cm="1">
        <f t="array" aca="1" ref="K66" ca="1">_xlfn.XLOOKUP(Assignments[[#This Row],[Company ID]], INDIRECT("'"&amp;Assignments[[#This Row],[Coordinator]]&amp;"'!$B:$B"), INDIRECT("'"&amp;Assignments[[#This Row],[Coordinator]]&amp;"'!$K:$K"), "")</f>
        <v>Received</v>
      </c>
      <c r="L66" s="12" t="str" cm="1">
        <f t="array" aca="1" ref="L66" ca="1">_xlfn.XLOOKUP(Assignments[[#This Row],[Company ID]], INDIRECT("'"&amp;Assignments[[#This Row],[Coordinator]]&amp;"'!$B:$B"), INDIRECT("'"&amp;Assignments[[#This Row],[Coordinator]]&amp;"'!$L:$L"), "")</f>
        <v>RECEIVED</v>
      </c>
    </row>
    <row r="67" spans="1:12" ht="30" customHeight="1" x14ac:dyDescent="0.25">
      <c r="A67" t="s">
        <v>9</v>
      </c>
      <c r="B67" s="2">
        <v>883864</v>
      </c>
      <c r="C67" t="s">
        <v>215</v>
      </c>
      <c r="D67" s="1" t="s">
        <v>216</v>
      </c>
      <c r="E67" t="b">
        <v>0</v>
      </c>
      <c r="F67" s="5">
        <v>7400</v>
      </c>
      <c r="G67" t="s">
        <v>217</v>
      </c>
      <c r="H67" t="s">
        <v>218</v>
      </c>
      <c r="I67" s="1" t="s">
        <v>219</v>
      </c>
      <c r="J67" s="60" t="str" cm="1">
        <f t="array" aca="1" ref="J67" ca="1">_xlfn.XLOOKUP(Assignments[[#This Row],[Company ID]], INDIRECT("'"&amp;Assignments[[#This Row],[Coordinator]]&amp;"'!$B:$B"), INDIRECT("'"&amp;Assignments[[#This Row],[Coordinator]]&amp;"'!$J:$J"), "")</f>
        <v>All onboarding documents — COI, W-9, and Spend authorization — are received and verified, with the COI arriving last. Compliance review passed with no exceptions. Vendor is fully onboarded and cleared for service.</v>
      </c>
      <c r="K67" s="12" t="str" cm="1">
        <f t="array" aca="1" ref="K67" ca="1">_xlfn.XLOOKUP(Assignments[[#This Row],[Company ID]], INDIRECT("'"&amp;Assignments[[#This Row],[Coordinator]]&amp;"'!$B:$B"), INDIRECT("'"&amp;Assignments[[#This Row],[Coordinator]]&amp;"'!$K:$K"), "")</f>
        <v>Completion</v>
      </c>
      <c r="L67" s="12" t="b" cm="1">
        <f t="array" aca="1" ref="L67" ca="1">_xlfn.XLOOKUP(Assignments[[#This Row],[Company ID]], INDIRECT("'"&amp;Assignments[[#This Row],[Coordinator]]&amp;"'!$B:$B"), INDIRECT("'"&amp;Assignments[[#This Row],[Coordinator]]&amp;"'!$L:$L"), "")</f>
        <v>1</v>
      </c>
    </row>
    <row r="68" spans="1:12" ht="30" customHeight="1" x14ac:dyDescent="0.25">
      <c r="A68" t="s">
        <v>9</v>
      </c>
      <c r="B68" s="2">
        <v>626279</v>
      </c>
      <c r="C68" t="s">
        <v>220</v>
      </c>
      <c r="D68" s="1" t="s">
        <v>221</v>
      </c>
      <c r="E68" t="b">
        <v>0</v>
      </c>
      <c r="F68" s="5">
        <v>1800</v>
      </c>
      <c r="G68" t="s">
        <v>222</v>
      </c>
      <c r="H68" t="s">
        <v>223</v>
      </c>
      <c r="I68" s="1" t="s">
        <v>224</v>
      </c>
      <c r="J68" s="60" t="str" cm="1">
        <f t="array" aca="1" ref="J68" ca="1">_xlfn.XLOOKUP(Assignments[[#This Row],[Company ID]], INDIRECT("'"&amp;Assignments[[#This Row],[Coordinator]]&amp;"'!$B:$B"), INDIRECT("'"&amp;Assignments[[#This Row],[Coordinator]]&amp;"'!$J:$J"), "")</f>
        <v>Packet complete after the COI was uploaded, closing the final open item. Documents were cross-checked against contract requirements and approved. Vendor moved to active status.</v>
      </c>
      <c r="K68" s="12" t="str" cm="1">
        <f t="array" aca="1" ref="K68" ca="1">_xlfn.XLOOKUP(Assignments[[#This Row],[Company ID]], INDIRECT("'"&amp;Assignments[[#This Row],[Coordinator]]&amp;"'!$B:$B"), INDIRECT("'"&amp;Assignments[[#This Row],[Coordinator]]&amp;"'!$K:$K"), "")</f>
        <v>Completion</v>
      </c>
      <c r="L68" s="12" t="b" cm="1">
        <f t="array" aca="1" ref="L68" ca="1">_xlfn.XLOOKUP(Assignments[[#This Row],[Company ID]], INDIRECT("'"&amp;Assignments[[#This Row],[Coordinator]]&amp;"'!$B:$B"), INDIRECT("'"&amp;Assignments[[#This Row],[Coordinator]]&amp;"'!$L:$L"), "")</f>
        <v>1</v>
      </c>
    </row>
    <row r="69" spans="1:12" ht="30" customHeight="1" x14ac:dyDescent="0.25">
      <c r="A69" t="s">
        <v>9</v>
      </c>
      <c r="B69" s="2">
        <v>947244</v>
      </c>
      <c r="C69" t="s">
        <v>225</v>
      </c>
      <c r="D69" s="1" t="s">
        <v>221</v>
      </c>
      <c r="E69" t="b">
        <v>0</v>
      </c>
      <c r="F69" s="5">
        <v>8600</v>
      </c>
      <c r="G69" t="s">
        <v>226</v>
      </c>
      <c r="H69" t="s">
        <v>227</v>
      </c>
      <c r="I69" s="1" t="s">
        <v>228</v>
      </c>
      <c r="J69" s="60" t="str" cm="1">
        <f t="array" aca="1" ref="J69" ca="1">_xlfn.XLOOKUP(Assignments[[#This Row],[Company ID]], INDIRECT("'"&amp;Assignments[[#This Row],[Coordinator]]&amp;"'!$B:$B"), INDIRECT("'"&amp;Assignments[[#This Row],[Coordinator]]&amp;"'!$J:$J"), "")</f>
        <v>Confirmed all required paperwork on file once the W-9 came through the portal. Insurance limits and tax details verified. Onboarding closed out.</v>
      </c>
      <c r="K69" s="12" t="str" cm="1">
        <f t="array" aca="1" ref="K69" ca="1">_xlfn.XLOOKUP(Assignments[[#This Row],[Company ID]], INDIRECT("'"&amp;Assignments[[#This Row],[Coordinator]]&amp;"'!$B:$B"), INDIRECT("'"&amp;Assignments[[#This Row],[Coordinator]]&amp;"'!$K:$K"), "")</f>
        <v>Completion</v>
      </c>
      <c r="L69" s="12" t="b" cm="1">
        <f t="array" aca="1" ref="L69" ca="1">_xlfn.XLOOKUP(Assignments[[#This Row],[Company ID]], INDIRECT("'"&amp;Assignments[[#This Row],[Coordinator]]&amp;"'!$B:$B"), INDIRECT("'"&amp;Assignments[[#This Row],[Coordinator]]&amp;"'!$L:$L"), "")</f>
        <v>1</v>
      </c>
    </row>
    <row r="70" spans="1:12" ht="30" customHeight="1" x14ac:dyDescent="0.25">
      <c r="A70" t="s">
        <v>9</v>
      </c>
      <c r="B70" s="2">
        <v>622668</v>
      </c>
      <c r="C70" t="s">
        <v>229</v>
      </c>
      <c r="D70" s="1" t="s">
        <v>230</v>
      </c>
      <c r="E70" t="b">
        <v>0</v>
      </c>
      <c r="F70" s="5">
        <v>45400</v>
      </c>
      <c r="G70" t="s">
        <v>231</v>
      </c>
      <c r="H70" t="s">
        <v>232</v>
      </c>
      <c r="I70" s="1" t="s">
        <v>233</v>
      </c>
      <c r="J70" s="60" t="str" cm="1">
        <f t="array" aca="1" ref="J70" ca="1">_xlfn.XLOOKUP(Assignments[[#This Row],[Company ID]], INDIRECT("'"&amp;Assignments[[#This Row],[Coordinator]]&amp;"'!$B:$B"), INDIRECT("'"&amp;Assignments[[#This Row],[Coordinator]]&amp;"'!$J:$J"), "")</f>
        <v>Full document set received and reconciled against the master vendor record; the W-9 needed a quick correction, now resolved. No further discrepancies found. Onboarding officially complete.</v>
      </c>
      <c r="K70" s="12" t="str" cm="1">
        <f t="array" aca="1" ref="K70" ca="1">_xlfn.XLOOKUP(Assignments[[#This Row],[Company ID]], INDIRECT("'"&amp;Assignments[[#This Row],[Coordinator]]&amp;"'!$B:$B"), INDIRECT("'"&amp;Assignments[[#This Row],[Coordinator]]&amp;"'!$K:$K"), "")</f>
        <v>Completion</v>
      </c>
      <c r="L70" s="12" t="b" cm="1">
        <f t="array" aca="1" ref="L70" ca="1">_xlfn.XLOOKUP(Assignments[[#This Row],[Company ID]], INDIRECT("'"&amp;Assignments[[#This Row],[Coordinator]]&amp;"'!$B:$B"), INDIRECT("'"&amp;Assignments[[#This Row],[Coordinator]]&amp;"'!$L:$L"), "")</f>
        <v>1</v>
      </c>
    </row>
    <row r="71" spans="1:12" ht="30" customHeight="1" x14ac:dyDescent="0.25">
      <c r="A71" t="s">
        <v>234</v>
      </c>
      <c r="B71" s="2">
        <v>768695</v>
      </c>
      <c r="C71" t="s">
        <v>235</v>
      </c>
      <c r="D71" s="20" t="s">
        <v>11</v>
      </c>
      <c r="E71" t="b">
        <v>1</v>
      </c>
      <c r="F71" s="5">
        <v>138400</v>
      </c>
      <c r="G71" t="s">
        <v>236</v>
      </c>
      <c r="H71" t="s">
        <v>237</v>
      </c>
      <c r="I71" s="1" t="s">
        <v>238</v>
      </c>
      <c r="J71" s="60" t="str" cm="1">
        <f t="array" aca="1" ref="J71" ca="1">_xlfn.XLOOKUP(Assignments[[#This Row],[Company ID]], INDIRECT("'"&amp;Assignments[[#This Row],[Coordinator]]&amp;"'!$B:$B"), INDIRECT("'"&amp;Assignments[[#This Row],[Coordinator]]&amp;"'!$J:$J"), "")</f>
        <v>All three required documents were approved on first pass, the Spend authorization included. The Certificate of Insurance names the arena as additional insured, as required. Vendor is good to go.</v>
      </c>
      <c r="K71" s="12" t="str" cm="1">
        <f t="array" aca="1" ref="K71" ca="1">_xlfn.XLOOKUP(Assignments[[#This Row],[Company ID]], INDIRECT("'"&amp;Assignments[[#This Row],[Coordinator]]&amp;"'!$B:$B"), INDIRECT("'"&amp;Assignments[[#This Row],[Coordinator]]&amp;"'!$K:$K"), "")</f>
        <v>Completion</v>
      </c>
      <c r="L71" s="12" t="b" cm="1">
        <f t="array" aca="1" ref="L71" ca="1">_xlfn.XLOOKUP(Assignments[[#This Row],[Company ID]], INDIRECT("'"&amp;Assignments[[#This Row],[Coordinator]]&amp;"'!$B:$B"), INDIRECT("'"&amp;Assignments[[#This Row],[Coordinator]]&amp;"'!$L:$L"), "")</f>
        <v>1</v>
      </c>
    </row>
    <row r="72" spans="1:12" ht="30" customHeight="1" x14ac:dyDescent="0.25">
      <c r="A72" t="s">
        <v>234</v>
      </c>
      <c r="B72" s="2">
        <v>324742</v>
      </c>
      <c r="C72" t="s">
        <v>239</v>
      </c>
      <c r="D72" s="20" t="s">
        <v>11</v>
      </c>
      <c r="E72" t="b">
        <v>1</v>
      </c>
      <c r="F72" s="5">
        <v>74500</v>
      </c>
      <c r="G72" t="s">
        <v>240</v>
      </c>
      <c r="H72" t="s">
        <v>241</v>
      </c>
      <c r="I72" s="1" t="s">
        <v>242</v>
      </c>
      <c r="J72" s="60" t="str" cm="1">
        <f t="array" aca="1" ref="J72" ca="1">_xlfn.XLOOKUP(Assignments[[#This Row],[Company ID]], INDIRECT("'"&amp;Assignments[[#This Row],[Coordinator]]&amp;"'!$B:$B"), INDIRECT("'"&amp;Assignments[[#This Row],[Coordinator]]&amp;"'!$J:$J"), "")</f>
        <v>All onboarding documents — COI, W-9, and Spend authorization — are received and verified, with the Spend authorization arriving last. Compliance review passed with no exceptions. Vendor is fully onboarded and cleared for service.</v>
      </c>
      <c r="K72" s="12" t="str" cm="1">
        <f t="array" aca="1" ref="K72" ca="1">_xlfn.XLOOKUP(Assignments[[#This Row],[Company ID]], INDIRECT("'"&amp;Assignments[[#This Row],[Coordinator]]&amp;"'!$B:$B"), INDIRECT("'"&amp;Assignments[[#This Row],[Coordinator]]&amp;"'!$K:$K"), "")</f>
        <v>Completion</v>
      </c>
      <c r="L72" s="12" t="b" cm="1">
        <f t="array" aca="1" ref="L72" ca="1">_xlfn.XLOOKUP(Assignments[[#This Row],[Company ID]], INDIRECT("'"&amp;Assignments[[#This Row],[Coordinator]]&amp;"'!$B:$B"), INDIRECT("'"&amp;Assignments[[#This Row],[Coordinator]]&amp;"'!$L:$L"), "")</f>
        <v>1</v>
      </c>
    </row>
    <row r="73" spans="1:12" ht="30" customHeight="1" x14ac:dyDescent="0.25">
      <c r="A73" t="s">
        <v>234</v>
      </c>
      <c r="B73" s="2">
        <v>683594</v>
      </c>
      <c r="C73" t="s">
        <v>243</v>
      </c>
      <c r="D73" s="1" t="s">
        <v>28</v>
      </c>
      <c r="E73" t="b">
        <v>1</v>
      </c>
      <c r="F73" s="5">
        <v>32700</v>
      </c>
      <c r="G73" t="s">
        <v>244</v>
      </c>
      <c r="H73" t="s">
        <v>245</v>
      </c>
      <c r="I73" s="1" t="s">
        <v>246</v>
      </c>
      <c r="J73" s="60" t="str" cm="1">
        <f t="array" aca="1" ref="J73" ca="1">_xlfn.XLOOKUP(Assignments[[#This Row],[Company ID]], INDIRECT("'"&amp;Assignments[[#This Row],[Coordinator]]&amp;"'!$B:$B"), INDIRECT("'"&amp;Assignments[[#This Row],[Coordinator]]&amp;"'!$J:$J"), "")</f>
        <v>The w-9 is delayed due to the contact's finance lead is out on PTO. A short extension was granted and acknowledged. Will re-check status by next week.</v>
      </c>
      <c r="K73" s="12" t="str" cm="1">
        <f t="array" aca="1" ref="K73" ca="1">_xlfn.XLOOKUP(Assignments[[#This Row],[Company ID]], INDIRECT("'"&amp;Assignments[[#This Row],[Coordinator]]&amp;"'!$B:$B"), INDIRECT("'"&amp;Assignments[[#This Row],[Coordinator]]&amp;"'!$K:$K"), "")</f>
        <v>Delayed</v>
      </c>
      <c r="L73" s="12" t="str" cm="1">
        <f t="array" aca="1" ref="L73" ca="1">_xlfn.XLOOKUP(Assignments[[#This Row],[Company ID]], INDIRECT("'"&amp;Assignments[[#This Row],[Coordinator]]&amp;"'!$B:$B"), INDIRECT("'"&amp;Assignments[[#This Row],[Coordinator]]&amp;"'!$L:$L"), "")</f>
        <v>RECEIVED</v>
      </c>
    </row>
    <row r="74" spans="1:12" ht="30" customHeight="1" x14ac:dyDescent="0.25">
      <c r="A74" t="s">
        <v>234</v>
      </c>
      <c r="B74" s="2">
        <v>705472</v>
      </c>
      <c r="C74" t="s">
        <v>247</v>
      </c>
      <c r="D74" s="1" t="s">
        <v>28</v>
      </c>
      <c r="E74" t="b">
        <v>1</v>
      </c>
      <c r="F74" s="5">
        <v>46000</v>
      </c>
      <c r="G74" t="s">
        <v>248</v>
      </c>
      <c r="H74" t="s">
        <v>249</v>
      </c>
      <c r="I74" s="1" t="s">
        <v>250</v>
      </c>
      <c r="J74" s="60" t="str" cm="1">
        <f t="array" aca="1" ref="J74" ca="1">_xlfn.XLOOKUP(Assignments[[#This Row],[Company ID]], INDIRECT("'"&amp;Assignments[[#This Row],[Coordinator]]&amp;"'!$B:$B"), INDIRECT("'"&amp;Assignments[[#This Row],[Coordinator]]&amp;"'!$J:$J"), "")</f>
        <v>Contact delivered the Spend authorization ahead of the deadline, completing the packet. Coverage and W-9 details confirmed current. Cleared for daily operations support.</v>
      </c>
      <c r="K74" s="12" t="str" cm="1">
        <f t="array" aca="1" ref="K74" ca="1">_xlfn.XLOOKUP(Assignments[[#This Row],[Company ID]], INDIRECT("'"&amp;Assignments[[#This Row],[Coordinator]]&amp;"'!$B:$B"), INDIRECT("'"&amp;Assignments[[#This Row],[Coordinator]]&amp;"'!$K:$K"), "")</f>
        <v>Completion</v>
      </c>
      <c r="L74" s="12" t="b" cm="1">
        <f t="array" aca="1" ref="L74" ca="1">_xlfn.XLOOKUP(Assignments[[#This Row],[Company ID]], INDIRECT("'"&amp;Assignments[[#This Row],[Coordinator]]&amp;"'!$B:$B"), INDIRECT("'"&amp;Assignments[[#This Row],[Coordinator]]&amp;"'!$L:$L"), "")</f>
        <v>1</v>
      </c>
    </row>
    <row r="75" spans="1:12" ht="30" customHeight="1" x14ac:dyDescent="0.25">
      <c r="A75" t="s">
        <v>234</v>
      </c>
      <c r="B75" s="2">
        <v>201358</v>
      </c>
      <c r="C75" t="s">
        <v>251</v>
      </c>
      <c r="D75" s="1" t="s">
        <v>28</v>
      </c>
      <c r="E75" t="b">
        <v>1</v>
      </c>
      <c r="F75" s="5">
        <v>297800</v>
      </c>
      <c r="G75" t="s">
        <v>252</v>
      </c>
      <c r="H75" t="s">
        <v>21</v>
      </c>
      <c r="I75" s="1" t="s">
        <v>253</v>
      </c>
      <c r="J75" s="60" t="str" cm="1">
        <f t="array" aca="1" ref="J75" ca="1">_xlfn.XLOOKUP(Assignments[[#This Row],[Company ID]], INDIRECT("'"&amp;Assignments[[#This Row],[Coordinator]]&amp;"'!$B:$B"), INDIRECT("'"&amp;Assignments[[#This Row],[Coordinator]]&amp;"'!$J:$J"), "")</f>
        <v>Contact delivered the W-9 ahead of the deadline, completing the packet. Coverage and W-9 details confirmed current. Cleared for daily operations support.</v>
      </c>
      <c r="K75" s="12" t="str" cm="1">
        <f t="array" aca="1" ref="K75" ca="1">_xlfn.XLOOKUP(Assignments[[#This Row],[Company ID]], INDIRECT("'"&amp;Assignments[[#This Row],[Coordinator]]&amp;"'!$B:$B"), INDIRECT("'"&amp;Assignments[[#This Row],[Coordinator]]&amp;"'!$K:$K"), "")</f>
        <v>Completion</v>
      </c>
      <c r="L75" s="12" t="b" cm="1">
        <f t="array" aca="1" ref="L75" ca="1">_xlfn.XLOOKUP(Assignments[[#This Row],[Company ID]], INDIRECT("'"&amp;Assignments[[#This Row],[Coordinator]]&amp;"'!$B:$B"), INDIRECT("'"&amp;Assignments[[#This Row],[Coordinator]]&amp;"'!$L:$L"), "")</f>
        <v>1</v>
      </c>
    </row>
    <row r="76" spans="1:12" ht="30" customHeight="1" x14ac:dyDescent="0.25">
      <c r="A76" t="s">
        <v>234</v>
      </c>
      <c r="B76" s="2">
        <v>428668</v>
      </c>
      <c r="C76" t="s">
        <v>254</v>
      </c>
      <c r="D76" s="1" t="s">
        <v>28</v>
      </c>
      <c r="E76" t="b">
        <v>1</v>
      </c>
      <c r="F76" s="5">
        <v>555800</v>
      </c>
      <c r="G76" t="s">
        <v>255</v>
      </c>
      <c r="H76" t="s">
        <v>256</v>
      </c>
      <c r="I76" s="1" t="s">
        <v>257</v>
      </c>
      <c r="J76" s="60" t="str" cm="1">
        <f t="array" aca="1" ref="J76" ca="1">_xlfn.XLOOKUP(Assignments[[#This Row],[Company ID]], INDIRECT("'"&amp;Assignments[[#This Row],[Coordinator]]&amp;"'!$B:$B"), INDIRECT("'"&amp;Assignments[[#This Row],[Coordinator]]&amp;"'!$J:$J"), "")</f>
        <v>The spend authorization was the last piece and it cleared review this Tuesday. COI, W-9, and Spend authorization are all validated. Vendor activated and notified.</v>
      </c>
      <c r="K76" s="12" t="str" cm="1">
        <f t="array" aca="1" ref="K76" ca="1">_xlfn.XLOOKUP(Assignments[[#This Row],[Company ID]], INDIRECT("'"&amp;Assignments[[#This Row],[Coordinator]]&amp;"'!$B:$B"), INDIRECT("'"&amp;Assignments[[#This Row],[Coordinator]]&amp;"'!$K:$K"), "")</f>
        <v>Completion</v>
      </c>
      <c r="L76" s="12" t="b" cm="1">
        <f t="array" aca="1" ref="L76" ca="1">_xlfn.XLOOKUP(Assignments[[#This Row],[Company ID]], INDIRECT("'"&amp;Assignments[[#This Row],[Coordinator]]&amp;"'!$B:$B"), INDIRECT("'"&amp;Assignments[[#This Row],[Coordinator]]&amp;"'!$L:$L"), "")</f>
        <v>1</v>
      </c>
    </row>
    <row r="77" spans="1:12" ht="30" customHeight="1" x14ac:dyDescent="0.25">
      <c r="A77" t="s">
        <v>234</v>
      </c>
      <c r="B77" s="2">
        <v>188534</v>
      </c>
      <c r="C77" t="s">
        <v>258</v>
      </c>
      <c r="D77" s="1" t="s">
        <v>28</v>
      </c>
      <c r="E77" t="b">
        <v>1</v>
      </c>
      <c r="F77" s="5">
        <v>34900</v>
      </c>
      <c r="G77" t="s">
        <v>259</v>
      </c>
      <c r="H77" t="s">
        <v>260</v>
      </c>
      <c r="I77" s="1" t="s">
        <v>261</v>
      </c>
      <c r="J77" s="60" t="str" cm="1">
        <f t="array" aca="1" ref="J77" ca="1">_xlfn.XLOOKUP(Assignments[[#This Row],[Company ID]], INDIRECT("'"&amp;Assignments[[#This Row],[Coordinator]]&amp;"'!$B:$B"), INDIRECT("'"&amp;Assignments[[#This Row],[Coordinator]]&amp;"'!$J:$J"), "")</f>
        <v>Everything is in — the COI arrived this Wednesday and matched our records. Contact was proactive throughout. Onboarding complete.</v>
      </c>
      <c r="K77" s="12" t="str" cm="1">
        <f t="array" aca="1" ref="K77" ca="1">_xlfn.XLOOKUP(Assignments[[#This Row],[Company ID]], INDIRECT("'"&amp;Assignments[[#This Row],[Coordinator]]&amp;"'!$B:$B"), INDIRECT("'"&amp;Assignments[[#This Row],[Coordinator]]&amp;"'!$K:$K"), "")</f>
        <v>Completion</v>
      </c>
      <c r="L77" s="12" t="b" cm="1">
        <f t="array" aca="1" ref="L77" ca="1">_xlfn.XLOOKUP(Assignments[[#This Row],[Company ID]], INDIRECT("'"&amp;Assignments[[#This Row],[Coordinator]]&amp;"'!$B:$B"), INDIRECT("'"&amp;Assignments[[#This Row],[Coordinator]]&amp;"'!$L:$L"), "")</f>
        <v>1</v>
      </c>
    </row>
    <row r="78" spans="1:12" ht="30" customHeight="1" x14ac:dyDescent="0.25">
      <c r="A78" t="s">
        <v>234</v>
      </c>
      <c r="B78" s="2">
        <v>241920</v>
      </c>
      <c r="C78" t="s">
        <v>262</v>
      </c>
      <c r="D78" s="1" t="s">
        <v>28</v>
      </c>
      <c r="E78" t="b">
        <v>1</v>
      </c>
      <c r="F78" s="5">
        <v>408600</v>
      </c>
      <c r="G78" t="s">
        <v>263</v>
      </c>
      <c r="H78" t="s">
        <v>264</v>
      </c>
      <c r="I78" s="1" t="s">
        <v>265</v>
      </c>
      <c r="J78" s="60" t="str" cm="1">
        <f t="array" aca="1" ref="J78" ca="1">_xlfn.XLOOKUP(Assignments[[#This Row],[Company ID]], INDIRECT("'"&amp;Assignments[[#This Row],[Coordinator]]&amp;"'!$B:$B"), INDIRECT("'"&amp;Assignments[[#This Row],[Coordinator]]&amp;"'!$J:$J"), "")</f>
        <v>The w-9 is delayed due to an unexpected staffing gap after the contact went on leave. A short extension was granted and acknowledged. Will re-check status by Tuesday.</v>
      </c>
      <c r="K78" s="12" t="str" cm="1">
        <f t="array" aca="1" ref="K78" ca="1">_xlfn.XLOOKUP(Assignments[[#This Row],[Company ID]], INDIRECT("'"&amp;Assignments[[#This Row],[Coordinator]]&amp;"'!$B:$B"), INDIRECT("'"&amp;Assignments[[#This Row],[Coordinator]]&amp;"'!$K:$K"), "")</f>
        <v>Delayed</v>
      </c>
      <c r="L78" s="12" t="b" cm="1">
        <f t="array" aca="1" ref="L78" ca="1">_xlfn.XLOOKUP(Assignments[[#This Row],[Company ID]], INDIRECT("'"&amp;Assignments[[#This Row],[Coordinator]]&amp;"'!$B:$B"), INDIRECT("'"&amp;Assignments[[#This Row],[Coordinator]]&amp;"'!$L:$L"), "")</f>
        <v>0</v>
      </c>
    </row>
    <row r="79" spans="1:12" ht="30" customHeight="1" x14ac:dyDescent="0.25">
      <c r="A79" t="s">
        <v>234</v>
      </c>
      <c r="B79" s="2">
        <v>815961</v>
      </c>
      <c r="C79" t="s">
        <v>266</v>
      </c>
      <c r="D79" s="1" t="s">
        <v>28</v>
      </c>
      <c r="E79" t="b">
        <v>1</v>
      </c>
      <c r="F79" s="5">
        <v>50500</v>
      </c>
      <c r="G79" t="s">
        <v>267</v>
      </c>
      <c r="H79" t="s">
        <v>268</v>
      </c>
      <c r="I79" s="1" t="s">
        <v>269</v>
      </c>
      <c r="J79" s="60" t="str" cm="1">
        <f t="array" aca="1" ref="J79" ca="1">_xlfn.XLOOKUP(Assignments[[#This Row],[Company ID]], INDIRECT("'"&amp;Assignments[[#This Row],[Coordinator]]&amp;"'!$B:$B"), INDIRECT("'"&amp;Assignments[[#This Row],[Coordinator]]&amp;"'!$J:$J"), "")</f>
        <v>Packet complete after the Spend authorization was uploaded, closing the final open item. Documents were cross-checked against contract requirements and approved. Vendor moved to active status.</v>
      </c>
      <c r="K79" s="12" t="str" cm="1">
        <f t="array" aca="1" ref="K79" ca="1">_xlfn.XLOOKUP(Assignments[[#This Row],[Company ID]], INDIRECT("'"&amp;Assignments[[#This Row],[Coordinator]]&amp;"'!$B:$B"), INDIRECT("'"&amp;Assignments[[#This Row],[Coordinator]]&amp;"'!$K:$K"), "")</f>
        <v>Completion</v>
      </c>
      <c r="L79" s="12" t="b" cm="1">
        <f t="array" aca="1" ref="L79" ca="1">_xlfn.XLOOKUP(Assignments[[#This Row],[Company ID]], INDIRECT("'"&amp;Assignments[[#This Row],[Coordinator]]&amp;"'!$B:$B"), INDIRECT("'"&amp;Assignments[[#This Row],[Coordinator]]&amp;"'!$L:$L"), "")</f>
        <v>1</v>
      </c>
    </row>
    <row r="80" spans="1:12" ht="30" customHeight="1" x14ac:dyDescent="0.25">
      <c r="A80" t="s">
        <v>234</v>
      </c>
      <c r="B80" s="2">
        <v>644854</v>
      </c>
      <c r="C80" t="s">
        <v>270</v>
      </c>
      <c r="D80" s="1" t="s">
        <v>28</v>
      </c>
      <c r="E80" t="b">
        <v>1</v>
      </c>
      <c r="F80" s="5">
        <v>259000</v>
      </c>
      <c r="G80" t="s">
        <v>271</v>
      </c>
      <c r="H80" t="s">
        <v>272</v>
      </c>
      <c r="I80" s="1" t="s">
        <v>273</v>
      </c>
      <c r="J80" s="60" t="str" cm="1">
        <f t="array" aca="1" ref="J80" ca="1">_xlfn.XLOOKUP(Assignments[[#This Row],[Company ID]], INDIRECT("'"&amp;Assignments[[#This Row],[Coordinator]]&amp;"'!$B:$B"), INDIRECT("'"&amp;Assignments[[#This Row],[Coordinator]]&amp;"'!$J:$J"), "")</f>
        <v>The spend authorization pushed back owing to a vendor-side system migration that temporarily locked their files. The rest of the packet is fine. Expecting resolution by Wednesday.</v>
      </c>
      <c r="K80" s="12" t="str" cm="1">
        <f t="array" aca="1" ref="K80" ca="1">_xlfn.XLOOKUP(Assignments[[#This Row],[Company ID]], INDIRECT("'"&amp;Assignments[[#This Row],[Coordinator]]&amp;"'!$B:$B"), INDIRECT("'"&amp;Assignments[[#This Row],[Coordinator]]&amp;"'!$K:$K"), "")</f>
        <v>Delayed</v>
      </c>
      <c r="L80" s="12" t="b" cm="1">
        <f t="array" aca="1" ref="L80" ca="1">_xlfn.XLOOKUP(Assignments[[#This Row],[Company ID]], INDIRECT("'"&amp;Assignments[[#This Row],[Coordinator]]&amp;"'!$B:$B"), INDIRECT("'"&amp;Assignments[[#This Row],[Coordinator]]&amp;"'!$L:$L"), "")</f>
        <v>0</v>
      </c>
    </row>
    <row r="81" spans="1:12" ht="30" customHeight="1" x14ac:dyDescent="0.25">
      <c r="A81" t="s">
        <v>234</v>
      </c>
      <c r="B81" s="2">
        <v>554670</v>
      </c>
      <c r="C81" t="s">
        <v>274</v>
      </c>
      <c r="D81" s="1" t="s">
        <v>28</v>
      </c>
      <c r="E81" t="b">
        <v>1</v>
      </c>
      <c r="F81" s="5">
        <v>33400</v>
      </c>
      <c r="G81" t="s">
        <v>275</v>
      </c>
      <c r="H81" t="s">
        <v>276</v>
      </c>
      <c r="I81" s="1" t="s">
        <v>277</v>
      </c>
      <c r="J81" s="60" t="str" cm="1">
        <f t="array" aca="1" ref="J81" ca="1">_xlfn.XLOOKUP(Assignments[[#This Row],[Company ID]], INDIRECT("'"&amp;Assignments[[#This Row],[Coordinator]]&amp;"'!$B:$B"), INDIRECT("'"&amp;Assignments[[#This Row],[Coordinator]]&amp;"'!$J:$J"), "")</f>
        <v>Everything is in — the Spend authorization arrived this Monday and matched our records. Contact was proactive throughout. Onboarding complete.</v>
      </c>
      <c r="K81" s="12" t="str" cm="1">
        <f t="array" aca="1" ref="K81" ca="1">_xlfn.XLOOKUP(Assignments[[#This Row],[Company ID]], INDIRECT("'"&amp;Assignments[[#This Row],[Coordinator]]&amp;"'!$B:$B"), INDIRECT("'"&amp;Assignments[[#This Row],[Coordinator]]&amp;"'!$K:$K"), "")</f>
        <v>Completion</v>
      </c>
      <c r="L81" s="12" t="b" cm="1">
        <f t="array" aca="1" ref="L81" ca="1">_xlfn.XLOOKUP(Assignments[[#This Row],[Company ID]], INDIRECT("'"&amp;Assignments[[#This Row],[Coordinator]]&amp;"'!$B:$B"), INDIRECT("'"&amp;Assignments[[#This Row],[Coordinator]]&amp;"'!$L:$L"), "")</f>
        <v>1</v>
      </c>
    </row>
    <row r="82" spans="1:12" ht="30" customHeight="1" x14ac:dyDescent="0.25">
      <c r="A82" t="s">
        <v>234</v>
      </c>
      <c r="B82" s="2">
        <v>671229</v>
      </c>
      <c r="C82" t="s">
        <v>278</v>
      </c>
      <c r="D82" s="1" t="s">
        <v>28</v>
      </c>
      <c r="E82" t="b">
        <v>1</v>
      </c>
      <c r="F82" s="5">
        <v>214900</v>
      </c>
      <c r="G82" t="s">
        <v>279</v>
      </c>
      <c r="H82" t="s">
        <v>280</v>
      </c>
      <c r="I82" s="1" t="s">
        <v>281</v>
      </c>
      <c r="J82" s="60" t="str" cm="1">
        <f t="array" aca="1" ref="J82" ca="1">_xlfn.XLOOKUP(Assignments[[#This Row],[Company ID]], INDIRECT("'"&amp;Assignments[[#This Row],[Coordinator]]&amp;"'!$B:$B"), INDIRECT("'"&amp;Assignments[[#This Row],[Coordinator]]&amp;"'!$J:$J"), "")</f>
        <v>All three required documents were approved on first pass, the Spend authorization included. The Certificate of Insurance names the arena as additional insured, as required. Vendor is good to go.</v>
      </c>
      <c r="K82" s="12" t="str" cm="1">
        <f t="array" aca="1" ref="K82" ca="1">_xlfn.XLOOKUP(Assignments[[#This Row],[Company ID]], INDIRECT("'"&amp;Assignments[[#This Row],[Coordinator]]&amp;"'!$B:$B"), INDIRECT("'"&amp;Assignments[[#This Row],[Coordinator]]&amp;"'!$K:$K"), "")</f>
        <v>Completion</v>
      </c>
      <c r="L82" s="12" t="b" cm="1">
        <f t="array" aca="1" ref="L82" ca="1">_xlfn.XLOOKUP(Assignments[[#This Row],[Company ID]], INDIRECT("'"&amp;Assignments[[#This Row],[Coordinator]]&amp;"'!$B:$B"), INDIRECT("'"&amp;Assignments[[#This Row],[Coordinator]]&amp;"'!$L:$L"), "")</f>
        <v>1</v>
      </c>
    </row>
    <row r="83" spans="1:12" ht="30" customHeight="1" x14ac:dyDescent="0.25">
      <c r="A83" t="s">
        <v>234</v>
      </c>
      <c r="B83" s="2">
        <v>777015</v>
      </c>
      <c r="C83" t="s">
        <v>282</v>
      </c>
      <c r="D83" s="1" t="s">
        <v>28</v>
      </c>
      <c r="E83" t="b">
        <v>1</v>
      </c>
      <c r="F83" s="5">
        <v>244300</v>
      </c>
      <c r="G83" t="s">
        <v>283</v>
      </c>
      <c r="H83" t="s">
        <v>284</v>
      </c>
      <c r="I83" s="1" t="s">
        <v>285</v>
      </c>
      <c r="J83" s="60" t="str" cm="1">
        <f t="array" aca="1" ref="J83" ca="1">_xlfn.XLOOKUP(Assignments[[#This Row],[Company ID]], INDIRECT("'"&amp;Assignments[[#This Row],[Coordinator]]&amp;"'!$B:$B"), INDIRECT("'"&amp;Assignments[[#This Row],[Coordinator]]&amp;"'!$J:$J"), "")</f>
        <v>The spend authorization pushed back owing to an internal signature backlog on the vendor's side. The rest of the packet is fine. Expecting resolution by Friday.</v>
      </c>
      <c r="K83" s="12" t="str" cm="1">
        <f t="array" aca="1" ref="K83" ca="1">_xlfn.XLOOKUP(Assignments[[#This Row],[Company ID]], INDIRECT("'"&amp;Assignments[[#This Row],[Coordinator]]&amp;"'!$B:$B"), INDIRECT("'"&amp;Assignments[[#This Row],[Coordinator]]&amp;"'!$K:$K"), "")</f>
        <v>Delayed</v>
      </c>
      <c r="L83" s="12" t="b" cm="1">
        <f t="array" aca="1" ref="L83" ca="1">_xlfn.XLOOKUP(Assignments[[#This Row],[Company ID]], INDIRECT("'"&amp;Assignments[[#This Row],[Coordinator]]&amp;"'!$B:$B"), INDIRECT("'"&amp;Assignments[[#This Row],[Coordinator]]&amp;"'!$L:$L"), "")</f>
        <v>0</v>
      </c>
    </row>
    <row r="84" spans="1:12" ht="30" customHeight="1" x14ac:dyDescent="0.25">
      <c r="A84" t="s">
        <v>234</v>
      </c>
      <c r="B84" s="2">
        <v>988976</v>
      </c>
      <c r="C84" t="s">
        <v>286</v>
      </c>
      <c r="D84" s="1" t="s">
        <v>61</v>
      </c>
      <c r="E84" t="b">
        <v>1</v>
      </c>
      <c r="F84" s="5">
        <v>22400</v>
      </c>
      <c r="G84" t="s">
        <v>287</v>
      </c>
      <c r="H84" t="s">
        <v>288</v>
      </c>
      <c r="I84" s="1" t="s">
        <v>289</v>
      </c>
      <c r="J84" s="60" t="str" cm="1">
        <f t="array" aca="1" ref="J84" ca="1">_xlfn.XLOOKUP(Assignments[[#This Row],[Company ID]], INDIRECT("'"&amp;Assignments[[#This Row],[Coordinator]]&amp;"'!$B:$B"), INDIRECT("'"&amp;Assignments[[#This Row],[Coordinator]]&amp;"'!$J:$J"), "")</f>
        <v>The spend authorization held up because of their broker is reissuing the certificate with corrected coverage limits. Contact is actively working it and apologized for the lag. New target is Tuesday.</v>
      </c>
      <c r="K84" s="12" t="str" cm="1">
        <f t="array" aca="1" ref="K84" ca="1">_xlfn.XLOOKUP(Assignments[[#This Row],[Company ID]], INDIRECT("'"&amp;Assignments[[#This Row],[Coordinator]]&amp;"'!$B:$B"), INDIRECT("'"&amp;Assignments[[#This Row],[Coordinator]]&amp;"'!$K:$K"), "")</f>
        <v>Delayed</v>
      </c>
      <c r="L84" s="12" t="b" cm="1">
        <f t="array" aca="1" ref="L84" ca="1">_xlfn.XLOOKUP(Assignments[[#This Row],[Company ID]], INDIRECT("'"&amp;Assignments[[#This Row],[Coordinator]]&amp;"'!$B:$B"), INDIRECT("'"&amp;Assignments[[#This Row],[Coordinator]]&amp;"'!$L:$L"), "")</f>
        <v>0</v>
      </c>
    </row>
    <row r="85" spans="1:12" ht="30" customHeight="1" x14ac:dyDescent="0.25">
      <c r="A85" t="s">
        <v>234</v>
      </c>
      <c r="B85" s="2">
        <v>518144</v>
      </c>
      <c r="C85" t="s">
        <v>290</v>
      </c>
      <c r="D85" s="1" t="s">
        <v>61</v>
      </c>
      <c r="E85" t="b">
        <v>1</v>
      </c>
      <c r="F85" s="5">
        <v>169700</v>
      </c>
      <c r="G85" t="s">
        <v>291</v>
      </c>
      <c r="H85" t="s">
        <v>292</v>
      </c>
      <c r="I85" s="1" t="s">
        <v>293</v>
      </c>
      <c r="J85" s="60" t="str" cm="1">
        <f t="array" aca="1" ref="J85" ca="1">_xlfn.XLOOKUP(Assignments[[#This Row],[Company ID]], INDIRECT("'"&amp;Assignments[[#This Row],[Coordinator]]&amp;"'!$B:$B"), INDIRECT("'"&amp;Assignments[[#This Row],[Coordinator]]&amp;"'!$J:$J"), "")</f>
        <v>Contact delivered the Spend authorization ahead of the deadline, completing the packet. Coverage and W-9 details confirmed current. Cleared for daily operations support.</v>
      </c>
      <c r="K85" s="12" t="str" cm="1">
        <f t="array" aca="1" ref="K85" ca="1">_xlfn.XLOOKUP(Assignments[[#This Row],[Company ID]], INDIRECT("'"&amp;Assignments[[#This Row],[Coordinator]]&amp;"'!$B:$B"), INDIRECT("'"&amp;Assignments[[#This Row],[Coordinator]]&amp;"'!$K:$K"), "")</f>
        <v>Completion</v>
      </c>
      <c r="L85" s="12" t="b" cm="1">
        <f t="array" aca="1" ref="L85" ca="1">_xlfn.XLOOKUP(Assignments[[#This Row],[Company ID]], INDIRECT("'"&amp;Assignments[[#This Row],[Coordinator]]&amp;"'!$B:$B"), INDIRECT("'"&amp;Assignments[[#This Row],[Coordinator]]&amp;"'!$L:$L"), "")</f>
        <v>1</v>
      </c>
    </row>
    <row r="86" spans="1:12" ht="30" customHeight="1" x14ac:dyDescent="0.25">
      <c r="A86" t="s">
        <v>234</v>
      </c>
      <c r="B86" s="2">
        <v>643148</v>
      </c>
      <c r="C86" t="s">
        <v>294</v>
      </c>
      <c r="D86" s="1" t="s">
        <v>61</v>
      </c>
      <c r="E86" t="b">
        <v>1</v>
      </c>
      <c r="F86" s="5">
        <v>169500</v>
      </c>
      <c r="G86" t="s">
        <v>295</v>
      </c>
      <c r="H86" t="s">
        <v>296</v>
      </c>
      <c r="I86" s="1" t="s">
        <v>297</v>
      </c>
      <c r="J86" s="60" t="str" cm="1">
        <f t="array" aca="1" ref="J86" ca="1">_xlfn.XLOOKUP(Assignments[[#This Row],[Company ID]], INDIRECT("'"&amp;Assignments[[#This Row],[Coordinator]]&amp;"'!$B:$B"), INDIRECT("'"&amp;Assignments[[#This Row],[Coordinator]]&amp;"'!$J:$J"), "")</f>
        <v>Received and accepted the COI, closing out the packet. No exceptions in compliance review. Vendor status set to active.</v>
      </c>
      <c r="K86" s="12" t="str" cm="1">
        <f t="array" aca="1" ref="K86" ca="1">_xlfn.XLOOKUP(Assignments[[#This Row],[Company ID]], INDIRECT("'"&amp;Assignments[[#This Row],[Coordinator]]&amp;"'!$B:$B"), INDIRECT("'"&amp;Assignments[[#This Row],[Coordinator]]&amp;"'!$K:$K"), "")</f>
        <v>Completion</v>
      </c>
      <c r="L86" s="12" t="b" cm="1">
        <f t="array" aca="1" ref="L86" ca="1">_xlfn.XLOOKUP(Assignments[[#This Row],[Company ID]], INDIRECT("'"&amp;Assignments[[#This Row],[Coordinator]]&amp;"'!$B:$B"), INDIRECT("'"&amp;Assignments[[#This Row],[Coordinator]]&amp;"'!$L:$L"), "")</f>
        <v>1</v>
      </c>
    </row>
    <row r="87" spans="1:12" ht="30" customHeight="1" x14ac:dyDescent="0.25">
      <c r="A87" t="s">
        <v>234</v>
      </c>
      <c r="B87" s="2">
        <v>571224</v>
      </c>
      <c r="C87" t="s">
        <v>298</v>
      </c>
      <c r="D87" s="1" t="s">
        <v>61</v>
      </c>
      <c r="E87" t="b">
        <v>1</v>
      </c>
      <c r="F87" s="5">
        <v>120300</v>
      </c>
      <c r="G87" t="s">
        <v>299</v>
      </c>
      <c r="H87" t="s">
        <v>300</v>
      </c>
      <c r="I87" s="1" t="s">
        <v>301</v>
      </c>
      <c r="J87" s="60" t="str" cm="1">
        <f t="array" aca="1" ref="J87" ca="1">_xlfn.XLOOKUP(Assignments[[#This Row],[Company ID]], INDIRECT("'"&amp;Assignments[[#This Row],[Coordinator]]&amp;"'!$B:$B"), INDIRECT("'"&amp;Assignments[[#This Row],[Coordinator]]&amp;"'!$J:$J"), "")</f>
        <v>The coi and the spend authorization received and verified; the W-9 still outstanding. Contact confirmed the remainder will be submitted by Tuesday. Following up then.</v>
      </c>
      <c r="K87" s="12" t="str" cm="1">
        <f t="array" aca="1" ref="K87" ca="1">_xlfn.XLOOKUP(Assignments[[#This Row],[Company ID]], INDIRECT("'"&amp;Assignments[[#This Row],[Coordinator]]&amp;"'!$B:$B"), INDIRECT("'"&amp;Assignments[[#This Row],[Coordinator]]&amp;"'!$K:$K"), "")</f>
        <v>Received</v>
      </c>
      <c r="L87" s="12" t="str" cm="1">
        <f t="array" aca="1" ref="L87" ca="1">_xlfn.XLOOKUP(Assignments[[#This Row],[Company ID]], INDIRECT("'"&amp;Assignments[[#This Row],[Coordinator]]&amp;"'!$B:$B"), INDIRECT("'"&amp;Assignments[[#This Row],[Coordinator]]&amp;"'!$L:$L"), "")</f>
        <v>RECEIVED</v>
      </c>
    </row>
    <row r="88" spans="1:12" ht="30" customHeight="1" x14ac:dyDescent="0.25">
      <c r="A88" t="s">
        <v>234</v>
      </c>
      <c r="B88" s="2">
        <v>237590</v>
      </c>
      <c r="C88" t="s">
        <v>302</v>
      </c>
      <c r="D88" s="1" t="s">
        <v>61</v>
      </c>
      <c r="E88" t="b">
        <v>1</v>
      </c>
      <c r="F88" s="5">
        <v>298100</v>
      </c>
      <c r="G88" t="s">
        <v>303</v>
      </c>
      <c r="H88" t="s">
        <v>304</v>
      </c>
      <c r="I88" s="1" t="s">
        <v>305</v>
      </c>
      <c r="J88" s="60" t="str" cm="1">
        <f t="array" aca="1" ref="J88" ca="1">_xlfn.XLOOKUP(Assignments[[#This Row],[Company ID]], INDIRECT("'"&amp;Assignments[[#This Row],[Coordinator]]&amp;"'!$B:$B"), INDIRECT("'"&amp;Assignments[[#This Row],[Coordinator]]&amp;"'!$J:$J"), "")</f>
        <v>Partial packet in — the W-9 and the Spend authorization on file and within requirements. Awaiting the COI from the vendor's team. Reminder set for next week.</v>
      </c>
      <c r="K88" s="12" t="str" cm="1">
        <f t="array" aca="1" ref="K88" ca="1">_xlfn.XLOOKUP(Assignments[[#This Row],[Company ID]], INDIRECT("'"&amp;Assignments[[#This Row],[Coordinator]]&amp;"'!$B:$B"), INDIRECT("'"&amp;Assignments[[#This Row],[Coordinator]]&amp;"'!$K:$K"), "")</f>
        <v>Received</v>
      </c>
      <c r="L88" s="12" t="str" cm="1">
        <f t="array" aca="1" ref="L88" ca="1">_xlfn.XLOOKUP(Assignments[[#This Row],[Company ID]], INDIRECT("'"&amp;Assignments[[#This Row],[Coordinator]]&amp;"'!$B:$B"), INDIRECT("'"&amp;Assignments[[#This Row],[Coordinator]]&amp;"'!$L:$L"), "")</f>
        <v>RECEIVED</v>
      </c>
    </row>
    <row r="89" spans="1:12" ht="30" customHeight="1" x14ac:dyDescent="0.25">
      <c r="A89" t="s">
        <v>234</v>
      </c>
      <c r="B89" s="2">
        <v>224906</v>
      </c>
      <c r="C89" t="s">
        <v>306</v>
      </c>
      <c r="D89" s="1" t="s">
        <v>89</v>
      </c>
      <c r="E89" t="b">
        <v>1</v>
      </c>
      <c r="F89" s="5">
        <v>176800</v>
      </c>
      <c r="G89" t="s">
        <v>307</v>
      </c>
      <c r="H89" t="s">
        <v>308</v>
      </c>
      <c r="I89" s="1" t="s">
        <v>309</v>
      </c>
      <c r="J89" s="60" t="str" cm="1">
        <f t="array" aca="1" ref="J89" ca="1">_xlfn.XLOOKUP(Assignments[[#This Row],[Company ID]], INDIRECT("'"&amp;Assignments[[#This Row],[Coordinator]]&amp;"'!$B:$B"), INDIRECT("'"&amp;Assignments[[#This Row],[Coordinator]]&amp;"'!$J:$J"), "")</f>
        <v>Everything is in — the COI arrived this Monday and matched our records. Contact was proactive throughout. Onboarding complete.</v>
      </c>
      <c r="K89" s="12" t="str" cm="1">
        <f t="array" aca="1" ref="K89" ca="1">_xlfn.XLOOKUP(Assignments[[#This Row],[Company ID]], INDIRECT("'"&amp;Assignments[[#This Row],[Coordinator]]&amp;"'!$B:$B"), INDIRECT("'"&amp;Assignments[[#This Row],[Coordinator]]&amp;"'!$K:$K"), "")</f>
        <v>Completion</v>
      </c>
      <c r="L89" s="12" t="b" cm="1">
        <f t="array" aca="1" ref="L89" ca="1">_xlfn.XLOOKUP(Assignments[[#This Row],[Company ID]], INDIRECT("'"&amp;Assignments[[#This Row],[Coordinator]]&amp;"'!$B:$B"), INDIRECT("'"&amp;Assignments[[#This Row],[Coordinator]]&amp;"'!$L:$L"), "")</f>
        <v>1</v>
      </c>
    </row>
    <row r="90" spans="1:12" ht="30" customHeight="1" x14ac:dyDescent="0.25">
      <c r="A90" t="s">
        <v>234</v>
      </c>
      <c r="B90" s="2">
        <v>435003</v>
      </c>
      <c r="C90" t="s">
        <v>310</v>
      </c>
      <c r="D90" s="1" t="s">
        <v>89</v>
      </c>
      <c r="E90" t="b">
        <v>1</v>
      </c>
      <c r="F90" s="5">
        <v>279300</v>
      </c>
      <c r="G90" t="s">
        <v>311</v>
      </c>
      <c r="H90" t="s">
        <v>312</v>
      </c>
      <c r="I90" s="1" t="s">
        <v>313</v>
      </c>
      <c r="J90" s="60" t="str" cm="1">
        <f t="array" aca="1" ref="J90" ca="1">_xlfn.XLOOKUP(Assignments[[#This Row],[Company ID]], INDIRECT("'"&amp;Assignments[[#This Row],[Coordinator]]&amp;"'!$B:$B"), INDIRECT("'"&amp;Assignments[[#This Row],[Coordinator]]&amp;"'!$J:$J"), "")</f>
        <v>Received and accepted the Spend authorization, closing out the packet. No exceptions in compliance review. Vendor status set to active.</v>
      </c>
      <c r="K90" s="12" t="str" cm="1">
        <f t="array" aca="1" ref="K90" ca="1">_xlfn.XLOOKUP(Assignments[[#This Row],[Company ID]], INDIRECT("'"&amp;Assignments[[#This Row],[Coordinator]]&amp;"'!$B:$B"), INDIRECT("'"&amp;Assignments[[#This Row],[Coordinator]]&amp;"'!$K:$K"), "")</f>
        <v>Completion</v>
      </c>
      <c r="L90" s="12" t="b" cm="1">
        <f t="array" aca="1" ref="L90" ca="1">_xlfn.XLOOKUP(Assignments[[#This Row],[Company ID]], INDIRECT("'"&amp;Assignments[[#This Row],[Coordinator]]&amp;"'!$B:$B"), INDIRECT("'"&amp;Assignments[[#This Row],[Coordinator]]&amp;"'!$L:$L"), "")</f>
        <v>1</v>
      </c>
    </row>
    <row r="91" spans="1:12" ht="30" customHeight="1" x14ac:dyDescent="0.25">
      <c r="A91" t="s">
        <v>234</v>
      </c>
      <c r="B91" s="2">
        <v>979734</v>
      </c>
      <c r="C91" t="s">
        <v>314</v>
      </c>
      <c r="D91" s="1" t="s">
        <v>89</v>
      </c>
      <c r="E91" t="b">
        <v>1</v>
      </c>
      <c r="F91" s="5">
        <v>195300</v>
      </c>
      <c r="G91" t="s">
        <v>315</v>
      </c>
      <c r="H91" t="s">
        <v>316</v>
      </c>
      <c r="I91" s="1" t="s">
        <v>317</v>
      </c>
      <c r="J91" s="60" t="str" cm="1">
        <f t="array" aca="1" ref="J91" ca="1">_xlfn.XLOOKUP(Assignments[[#This Row],[Company ID]], INDIRECT("'"&amp;Assignments[[#This Row],[Coordinator]]&amp;"'!$B:$B"), INDIRECT("'"&amp;Assignments[[#This Row],[Coordinator]]&amp;"'!$J:$J"), "")</f>
        <v>Onboarding finalized after a short verification call this Tuesday. Every document is signed, dated, and on file. Ready for service assignment.</v>
      </c>
      <c r="K91" s="12" t="str" cm="1">
        <f t="array" aca="1" ref="K91" ca="1">_xlfn.XLOOKUP(Assignments[[#This Row],[Company ID]], INDIRECT("'"&amp;Assignments[[#This Row],[Coordinator]]&amp;"'!$B:$B"), INDIRECT("'"&amp;Assignments[[#This Row],[Coordinator]]&amp;"'!$K:$K"), "")</f>
        <v>Completion</v>
      </c>
      <c r="L91" s="12" t="b" cm="1">
        <f t="array" aca="1" ref="L91" ca="1">_xlfn.XLOOKUP(Assignments[[#This Row],[Company ID]], INDIRECT("'"&amp;Assignments[[#This Row],[Coordinator]]&amp;"'!$B:$B"), INDIRECT("'"&amp;Assignments[[#This Row],[Coordinator]]&amp;"'!$L:$L"), "")</f>
        <v>1</v>
      </c>
    </row>
    <row r="92" spans="1:12" ht="30" customHeight="1" x14ac:dyDescent="0.25">
      <c r="A92" t="s">
        <v>234</v>
      </c>
      <c r="B92" s="2">
        <v>891370</v>
      </c>
      <c r="C92" t="s">
        <v>318</v>
      </c>
      <c r="D92" s="1" t="s">
        <v>89</v>
      </c>
      <c r="E92" t="b">
        <v>1</v>
      </c>
      <c r="F92" s="5">
        <v>155300</v>
      </c>
      <c r="G92" t="s">
        <v>319</v>
      </c>
      <c r="H92" t="s">
        <v>320</v>
      </c>
      <c r="I92" s="1" t="s">
        <v>321</v>
      </c>
      <c r="J92" s="60" t="str" cm="1">
        <f t="array" aca="1" ref="J92" ca="1">_xlfn.XLOOKUP(Assignments[[#This Row],[Company ID]], INDIRECT("'"&amp;Assignments[[#This Row],[Coordinator]]&amp;"'!$B:$B"), INDIRECT("'"&amp;Assignments[[#This Row],[Coordinator]]&amp;"'!$J:$J"), "")</f>
        <v>Received the W-9 through the portal today; the COI and the Spend authorization still pending. Contact acknowledged the request and is gathering the paperwork. Checking back next week.</v>
      </c>
      <c r="K92" s="12" t="str" cm="1">
        <f t="array" aca="1" ref="K92" ca="1">_xlfn.XLOOKUP(Assignments[[#This Row],[Company ID]], INDIRECT("'"&amp;Assignments[[#This Row],[Coordinator]]&amp;"'!$B:$B"), INDIRECT("'"&amp;Assignments[[#This Row],[Coordinator]]&amp;"'!$K:$K"), "")</f>
        <v>Received</v>
      </c>
      <c r="L92" s="12" t="str" cm="1">
        <f t="array" aca="1" ref="L92" ca="1">_xlfn.XLOOKUP(Assignments[[#This Row],[Company ID]], INDIRECT("'"&amp;Assignments[[#This Row],[Coordinator]]&amp;"'!$B:$B"), INDIRECT("'"&amp;Assignments[[#This Row],[Coordinator]]&amp;"'!$L:$L"), "")</f>
        <v>RECEIVED</v>
      </c>
    </row>
    <row r="93" spans="1:12" ht="30" customHeight="1" x14ac:dyDescent="0.25">
      <c r="A93" t="s">
        <v>234</v>
      </c>
      <c r="B93" s="2">
        <v>562521</v>
      </c>
      <c r="C93" t="s">
        <v>322</v>
      </c>
      <c r="D93" s="1" t="s">
        <v>118</v>
      </c>
      <c r="E93" t="b">
        <v>1</v>
      </c>
      <c r="F93" s="5">
        <v>48100</v>
      </c>
      <c r="G93" t="s">
        <v>323</v>
      </c>
      <c r="H93" t="s">
        <v>324</v>
      </c>
      <c r="I93" s="1" t="s">
        <v>325</v>
      </c>
      <c r="J93" s="60" t="str" cm="1">
        <f t="array" aca="1" ref="J93" ca="1">_xlfn.XLOOKUP(Assignments[[#This Row],[Company ID]], INDIRECT("'"&amp;Assignments[[#This Row],[Coordinator]]&amp;"'!$B:$B"), INDIRECT("'"&amp;Assignments[[#This Row],[Coordinator]]&amp;"'!$J:$J"), "")</f>
        <v>Submission of the W-9 stalled because of a legal entity name change working through their system. Contact remains responsive despite the holdup. Re-checking Monday.</v>
      </c>
      <c r="K93" s="12" t="str" cm="1">
        <f t="array" aca="1" ref="K93" ca="1">_xlfn.XLOOKUP(Assignments[[#This Row],[Company ID]], INDIRECT("'"&amp;Assignments[[#This Row],[Coordinator]]&amp;"'!$B:$B"), INDIRECT("'"&amp;Assignments[[#This Row],[Coordinator]]&amp;"'!$K:$K"), "")</f>
        <v>Delayed</v>
      </c>
      <c r="L93" s="12" t="b" cm="1">
        <f t="array" aca="1" ref="L93" ca="1">_xlfn.XLOOKUP(Assignments[[#This Row],[Company ID]], INDIRECT("'"&amp;Assignments[[#This Row],[Coordinator]]&amp;"'!$B:$B"), INDIRECT("'"&amp;Assignments[[#This Row],[Coordinator]]&amp;"'!$L:$L"), "")</f>
        <v>0</v>
      </c>
    </row>
    <row r="94" spans="1:12" ht="30" customHeight="1" x14ac:dyDescent="0.25">
      <c r="A94" t="s">
        <v>234</v>
      </c>
      <c r="B94" s="2">
        <v>664201</v>
      </c>
      <c r="C94" t="s">
        <v>326</v>
      </c>
      <c r="D94" s="1" t="s">
        <v>118</v>
      </c>
      <c r="E94" t="b">
        <v>1</v>
      </c>
      <c r="F94" s="5">
        <v>25600</v>
      </c>
      <c r="G94" t="s">
        <v>327</v>
      </c>
      <c r="H94" t="s">
        <v>328</v>
      </c>
      <c r="I94" s="1" t="s">
        <v>329</v>
      </c>
      <c r="J94" s="60" t="str" cm="1">
        <f t="array" aca="1" ref="J94" ca="1">_xlfn.XLOOKUP(Assignments[[#This Row],[Company ID]], INDIRECT("'"&amp;Assignments[[#This Row],[Coordinator]]&amp;"'!$B:$B"), INDIRECT("'"&amp;Assignments[[#This Row],[Coordinator]]&amp;"'!$J:$J"), "")</f>
        <v>The coi was the last piece and it cleared review this Wednesday. COI, W-9, and Spend authorization are all validated. Vendor activated and notified.</v>
      </c>
      <c r="K94" s="12" t="str" cm="1">
        <f t="array" aca="1" ref="K94" ca="1">_xlfn.XLOOKUP(Assignments[[#This Row],[Company ID]], INDIRECT("'"&amp;Assignments[[#This Row],[Coordinator]]&amp;"'!$B:$B"), INDIRECT("'"&amp;Assignments[[#This Row],[Coordinator]]&amp;"'!$K:$K"), "")</f>
        <v>Completion</v>
      </c>
      <c r="L94" s="12" t="b" cm="1">
        <f t="array" aca="1" ref="L94" ca="1">_xlfn.XLOOKUP(Assignments[[#This Row],[Company ID]], INDIRECT("'"&amp;Assignments[[#This Row],[Coordinator]]&amp;"'!$B:$B"), INDIRECT("'"&amp;Assignments[[#This Row],[Coordinator]]&amp;"'!$L:$L"), "")</f>
        <v>1</v>
      </c>
    </row>
    <row r="95" spans="1:12" ht="30" customHeight="1" x14ac:dyDescent="0.25">
      <c r="A95" t="s">
        <v>234</v>
      </c>
      <c r="B95" s="2">
        <v>648288</v>
      </c>
      <c r="C95" t="s">
        <v>330</v>
      </c>
      <c r="D95" s="1" t="s">
        <v>118</v>
      </c>
      <c r="E95" t="b">
        <v>1</v>
      </c>
      <c r="F95" s="5">
        <v>41900</v>
      </c>
      <c r="G95" t="s">
        <v>331</v>
      </c>
      <c r="H95" t="s">
        <v>332</v>
      </c>
      <c r="I95" s="1" t="s">
        <v>333</v>
      </c>
      <c r="J95" s="60" t="str" cm="1">
        <f t="array" aca="1" ref="J95" ca="1">_xlfn.XLOOKUP(Assignments[[#This Row],[Company ID]], INDIRECT("'"&amp;Assignments[[#This Row],[Coordinator]]&amp;"'!$B:$B"), INDIRECT("'"&amp;Assignments[[#This Row],[Coordinator]]&amp;"'!$J:$J"), "")</f>
        <v>Full document set received and reconciled against the master vendor record; the W-9 needed a quick correction, now resolved. No further discrepancies found. Onboarding officially complete.</v>
      </c>
      <c r="K95" s="12" t="str" cm="1">
        <f t="array" aca="1" ref="K95" ca="1">_xlfn.XLOOKUP(Assignments[[#This Row],[Company ID]], INDIRECT("'"&amp;Assignments[[#This Row],[Coordinator]]&amp;"'!$B:$B"), INDIRECT("'"&amp;Assignments[[#This Row],[Coordinator]]&amp;"'!$K:$K"), "")</f>
        <v>Completion</v>
      </c>
      <c r="L95" s="12" t="b" cm="1">
        <f t="array" aca="1" ref="L95" ca="1">_xlfn.XLOOKUP(Assignments[[#This Row],[Company ID]], INDIRECT("'"&amp;Assignments[[#This Row],[Coordinator]]&amp;"'!$B:$B"), INDIRECT("'"&amp;Assignments[[#This Row],[Coordinator]]&amp;"'!$L:$L"), "")</f>
        <v>1</v>
      </c>
    </row>
    <row r="96" spans="1:12" ht="30" customHeight="1" x14ac:dyDescent="0.25">
      <c r="A96" t="s">
        <v>234</v>
      </c>
      <c r="B96" s="2">
        <v>613296</v>
      </c>
      <c r="C96" t="s">
        <v>334</v>
      </c>
      <c r="D96" s="1" t="s">
        <v>118</v>
      </c>
      <c r="E96" t="b">
        <v>1</v>
      </c>
      <c r="F96" s="5">
        <v>329800</v>
      </c>
      <c r="G96" t="s">
        <v>335</v>
      </c>
      <c r="H96" t="s">
        <v>336</v>
      </c>
      <c r="I96" s="1" t="s">
        <v>337</v>
      </c>
      <c r="J96" s="60" t="str" cm="1">
        <f t="array" aca="1" ref="J96" ca="1">_xlfn.XLOOKUP(Assignments[[#This Row],[Company ID]], INDIRECT("'"&amp;Assignments[[#This Row],[Coordinator]]&amp;"'!$B:$B"), INDIRECT("'"&amp;Assignments[[#This Row],[Coordinator]]&amp;"'!$J:$J"), "")</f>
        <v>All onboarding documents — COI, W-9, and Spend authorization — are received and verified, with the COI arriving last. Compliance review passed with no exceptions. Vendor is fully onboarded and cleared for service.</v>
      </c>
      <c r="K96" s="12" t="str" cm="1">
        <f t="array" aca="1" ref="K96" ca="1">_xlfn.XLOOKUP(Assignments[[#This Row],[Company ID]], INDIRECT("'"&amp;Assignments[[#This Row],[Coordinator]]&amp;"'!$B:$B"), INDIRECT("'"&amp;Assignments[[#This Row],[Coordinator]]&amp;"'!$K:$K"), "")</f>
        <v>Completion</v>
      </c>
      <c r="L96" s="12" t="b" cm="1">
        <f t="array" aca="1" ref="L96" ca="1">_xlfn.XLOOKUP(Assignments[[#This Row],[Company ID]], INDIRECT("'"&amp;Assignments[[#This Row],[Coordinator]]&amp;"'!$B:$B"), INDIRECT("'"&amp;Assignments[[#This Row],[Coordinator]]&amp;"'!$L:$L"), "")</f>
        <v>1</v>
      </c>
    </row>
    <row r="97" spans="1:12" ht="30" customHeight="1" x14ac:dyDescent="0.25">
      <c r="A97" t="s">
        <v>234</v>
      </c>
      <c r="B97" s="2">
        <v>153870</v>
      </c>
      <c r="C97" t="s">
        <v>338</v>
      </c>
      <c r="D97" s="1" t="s">
        <v>118</v>
      </c>
      <c r="E97" t="b">
        <v>1</v>
      </c>
      <c r="F97" s="5">
        <v>331900</v>
      </c>
      <c r="G97" t="s">
        <v>339</v>
      </c>
      <c r="H97" t="s">
        <v>340</v>
      </c>
      <c r="I97" s="1" t="s">
        <v>341</v>
      </c>
      <c r="J97" s="60" t="str" cm="1">
        <f t="array" aca="1" ref="J97" ca="1">_xlfn.XLOOKUP(Assignments[[#This Row],[Company ID]], INDIRECT("'"&amp;Assignments[[#This Row],[Coordinator]]&amp;"'!$B:$B"), INDIRECT("'"&amp;Assignments[[#This Row],[Coordinator]]&amp;"'!$J:$J"), "")</f>
        <v>All three required documents were approved on first pass, the COI included. The Certificate of Insurance names the arena as additional insured, as required. Vendor is good to go.</v>
      </c>
      <c r="K97" s="12" t="str" cm="1">
        <f t="array" aca="1" ref="K97" ca="1">_xlfn.XLOOKUP(Assignments[[#This Row],[Company ID]], INDIRECT("'"&amp;Assignments[[#This Row],[Coordinator]]&amp;"'!$B:$B"), INDIRECT("'"&amp;Assignments[[#This Row],[Coordinator]]&amp;"'!$K:$K"), "")</f>
        <v>Completion</v>
      </c>
      <c r="L97" s="12" t="b" cm="1">
        <f t="array" aca="1" ref="L97" ca="1">_xlfn.XLOOKUP(Assignments[[#This Row],[Company ID]], INDIRECT("'"&amp;Assignments[[#This Row],[Coordinator]]&amp;"'!$B:$B"), INDIRECT("'"&amp;Assignments[[#This Row],[Coordinator]]&amp;"'!$L:$L"), "")</f>
        <v>1</v>
      </c>
    </row>
    <row r="98" spans="1:12" ht="30" customHeight="1" x14ac:dyDescent="0.25">
      <c r="A98" t="s">
        <v>234</v>
      </c>
      <c r="B98" s="2">
        <v>452760</v>
      </c>
      <c r="C98" t="s">
        <v>342</v>
      </c>
      <c r="D98" s="1" t="s">
        <v>118</v>
      </c>
      <c r="E98" t="b">
        <v>1</v>
      </c>
      <c r="F98" s="5">
        <v>240800</v>
      </c>
      <c r="G98" t="s">
        <v>343</v>
      </c>
      <c r="H98" t="s">
        <v>344</v>
      </c>
      <c r="I98" s="1" t="s">
        <v>345</v>
      </c>
      <c r="J98" s="60" t="str" cm="1">
        <f t="array" aca="1" ref="J98" ca="1">_xlfn.XLOOKUP(Assignments[[#This Row],[Company ID]], INDIRECT("'"&amp;Assignments[[#This Row],[Coordinator]]&amp;"'!$B:$B"), INDIRECT("'"&amp;Assignments[[#This Row],[Coordinator]]&amp;"'!$J:$J"), "")</f>
        <v>The spend authorization pushed back owing to a processing backlog cited by their broker. The rest of the packet is fine. Expecting resolution by Wednesday.</v>
      </c>
      <c r="K98" s="12" t="str" cm="1">
        <f t="array" aca="1" ref="K98" ca="1">_xlfn.XLOOKUP(Assignments[[#This Row],[Company ID]], INDIRECT("'"&amp;Assignments[[#This Row],[Coordinator]]&amp;"'!$B:$B"), INDIRECT("'"&amp;Assignments[[#This Row],[Coordinator]]&amp;"'!$K:$K"), "")</f>
        <v>Delayed</v>
      </c>
      <c r="L98" s="12" t="b" cm="1">
        <f t="array" aca="1" ref="L98" ca="1">_xlfn.XLOOKUP(Assignments[[#This Row],[Company ID]], INDIRECT("'"&amp;Assignments[[#This Row],[Coordinator]]&amp;"'!$B:$B"), INDIRECT("'"&amp;Assignments[[#This Row],[Coordinator]]&amp;"'!$L:$L"), "")</f>
        <v>0</v>
      </c>
    </row>
    <row r="99" spans="1:12" ht="30" customHeight="1" x14ac:dyDescent="0.25">
      <c r="A99" t="s">
        <v>234</v>
      </c>
      <c r="B99" s="2">
        <v>546016</v>
      </c>
      <c r="C99" t="s">
        <v>346</v>
      </c>
      <c r="D99" s="1" t="s">
        <v>118</v>
      </c>
      <c r="E99" t="b">
        <v>1</v>
      </c>
      <c r="F99" s="5">
        <v>331300</v>
      </c>
      <c r="G99" t="s">
        <v>347</v>
      </c>
      <c r="H99" t="s">
        <v>348</v>
      </c>
      <c r="I99" s="1" t="s">
        <v>349</v>
      </c>
      <c r="J99" s="60" t="str" cm="1">
        <f t="array" aca="1" ref="J99" ca="1">_xlfn.XLOOKUP(Assignments[[#This Row],[Company ID]], INDIRECT("'"&amp;Assignments[[#This Row],[Coordinator]]&amp;"'!$B:$B"), INDIRECT("'"&amp;Assignments[[#This Row],[Coordinator]]&amp;"'!$J:$J"), "")</f>
        <v>Everything is in — the W-9 arrived this Thursday and matched our records. Contact was proactive throughout. Onboarding complete.</v>
      </c>
      <c r="K99" s="12" t="str" cm="1">
        <f t="array" aca="1" ref="K99" ca="1">_xlfn.XLOOKUP(Assignments[[#This Row],[Company ID]], INDIRECT("'"&amp;Assignments[[#This Row],[Coordinator]]&amp;"'!$B:$B"), INDIRECT("'"&amp;Assignments[[#This Row],[Coordinator]]&amp;"'!$K:$K"), "")</f>
        <v>Completion</v>
      </c>
      <c r="L99" s="12" t="b" cm="1">
        <f t="array" aca="1" ref="L99" ca="1">_xlfn.XLOOKUP(Assignments[[#This Row],[Company ID]], INDIRECT("'"&amp;Assignments[[#This Row],[Coordinator]]&amp;"'!$B:$B"), INDIRECT("'"&amp;Assignments[[#This Row],[Coordinator]]&amp;"'!$L:$L"), "")</f>
        <v>1</v>
      </c>
    </row>
    <row r="100" spans="1:12" ht="30" customHeight="1" x14ac:dyDescent="0.25">
      <c r="A100" t="s">
        <v>234</v>
      </c>
      <c r="B100" s="2">
        <v>954340</v>
      </c>
      <c r="C100" t="s">
        <v>350</v>
      </c>
      <c r="D100" s="1" t="s">
        <v>143</v>
      </c>
      <c r="E100" t="b">
        <v>1</v>
      </c>
      <c r="F100" s="5">
        <v>149800</v>
      </c>
      <c r="G100" t="s">
        <v>351</v>
      </c>
      <c r="H100" t="s">
        <v>352</v>
      </c>
      <c r="I100" s="1" t="s">
        <v>353</v>
      </c>
      <c r="J100" s="60" t="str" cm="1">
        <f t="array" aca="1" ref="J100" ca="1">_xlfn.XLOOKUP(Assignments[[#This Row],[Company ID]], INDIRECT("'"&amp;Assignments[[#This Row],[Coordinator]]&amp;"'!$B:$B"), INDIRECT("'"&amp;Assignments[[#This Row],[Coordinator]]&amp;"'!$J:$J"), "")</f>
        <v>All onboarding documents — COI, W-9, and Spend authorization — are received and verified, with the W-9 arriving last. Compliance review passed with no exceptions. Vendor is fully onboarded and cleared for service.</v>
      </c>
      <c r="K100" s="12" t="str" cm="1">
        <f t="array" aca="1" ref="K100" ca="1">_xlfn.XLOOKUP(Assignments[[#This Row],[Company ID]], INDIRECT("'"&amp;Assignments[[#This Row],[Coordinator]]&amp;"'!$B:$B"), INDIRECT("'"&amp;Assignments[[#This Row],[Coordinator]]&amp;"'!$K:$K"), "")</f>
        <v>Completion</v>
      </c>
      <c r="L100" s="12" t="b" cm="1">
        <f t="array" aca="1" ref="L100" ca="1">_xlfn.XLOOKUP(Assignments[[#This Row],[Company ID]], INDIRECT("'"&amp;Assignments[[#This Row],[Coordinator]]&amp;"'!$B:$B"), INDIRECT("'"&amp;Assignments[[#This Row],[Coordinator]]&amp;"'!$L:$L"), "")</f>
        <v>1</v>
      </c>
    </row>
    <row r="101" spans="1:12" ht="30" customHeight="1" x14ac:dyDescent="0.25">
      <c r="A101" t="s">
        <v>234</v>
      </c>
      <c r="B101" s="2">
        <v>681381</v>
      </c>
      <c r="C101" t="s">
        <v>354</v>
      </c>
      <c r="D101" s="1" t="s">
        <v>143</v>
      </c>
      <c r="E101" t="b">
        <v>1</v>
      </c>
      <c r="F101" s="5">
        <v>126900</v>
      </c>
      <c r="G101" t="s">
        <v>355</v>
      </c>
      <c r="H101" t="s">
        <v>356</v>
      </c>
      <c r="I101" s="1" t="s">
        <v>357</v>
      </c>
      <c r="J101" s="60" t="str" cm="1">
        <f t="array" aca="1" ref="J101" ca="1">_xlfn.XLOOKUP(Assignments[[#This Row],[Company ID]], INDIRECT("'"&amp;Assignments[[#This Row],[Coordinator]]&amp;"'!$B:$B"), INDIRECT("'"&amp;Assignments[[#This Row],[Coordinator]]&amp;"'!$J:$J"), "")</f>
        <v>Everything is in — the COI arrived this Thursday and matched our records. Contact was proactive throughout. Onboarding complete.</v>
      </c>
      <c r="K101" s="12" t="str" cm="1">
        <f t="array" aca="1" ref="K101" ca="1">_xlfn.XLOOKUP(Assignments[[#This Row],[Company ID]], INDIRECT("'"&amp;Assignments[[#This Row],[Coordinator]]&amp;"'!$B:$B"), INDIRECT("'"&amp;Assignments[[#This Row],[Coordinator]]&amp;"'!$K:$K"), "")</f>
        <v>Completion</v>
      </c>
      <c r="L101" s="12" t="b" cm="1">
        <f t="array" aca="1" ref="L101" ca="1">_xlfn.XLOOKUP(Assignments[[#This Row],[Company ID]], INDIRECT("'"&amp;Assignments[[#This Row],[Coordinator]]&amp;"'!$B:$B"), INDIRECT("'"&amp;Assignments[[#This Row],[Coordinator]]&amp;"'!$L:$L"), "")</f>
        <v>1</v>
      </c>
    </row>
    <row r="102" spans="1:12" ht="30" customHeight="1" x14ac:dyDescent="0.25">
      <c r="A102" t="s">
        <v>234</v>
      </c>
      <c r="B102" s="2">
        <v>312369</v>
      </c>
      <c r="C102" t="s">
        <v>358</v>
      </c>
      <c r="D102" s="1" t="s">
        <v>143</v>
      </c>
      <c r="E102" t="b">
        <v>1</v>
      </c>
      <c r="F102" s="5">
        <v>337400</v>
      </c>
      <c r="G102" t="s">
        <v>359</v>
      </c>
      <c r="H102" t="s">
        <v>360</v>
      </c>
      <c r="I102" s="1" t="s">
        <v>361</v>
      </c>
      <c r="J102" s="60" t="str" cm="1">
        <f t="array" aca="1" ref="J102" ca="1">_xlfn.XLOOKUP(Assignments[[#This Row],[Company ID]], INDIRECT("'"&amp;Assignments[[#This Row],[Coordinator]]&amp;"'!$B:$B"), INDIRECT("'"&amp;Assignments[[#This Row],[Coordinator]]&amp;"'!$J:$J"), "")</f>
        <v>The coi received and verified; the Spend authorization and the W-9 still outstanding. Contact confirmed the remainder will be submitted by Monday. Following up then.</v>
      </c>
      <c r="K102" s="12" t="str" cm="1">
        <f t="array" aca="1" ref="K102" ca="1">_xlfn.XLOOKUP(Assignments[[#This Row],[Company ID]], INDIRECT("'"&amp;Assignments[[#This Row],[Coordinator]]&amp;"'!$B:$B"), INDIRECT("'"&amp;Assignments[[#This Row],[Coordinator]]&amp;"'!$K:$K"), "")</f>
        <v>Received</v>
      </c>
      <c r="L102" s="12" t="str" cm="1">
        <f t="array" aca="1" ref="L102" ca="1">_xlfn.XLOOKUP(Assignments[[#This Row],[Company ID]], INDIRECT("'"&amp;Assignments[[#This Row],[Coordinator]]&amp;"'!$B:$B"), INDIRECT("'"&amp;Assignments[[#This Row],[Coordinator]]&amp;"'!$L:$L"), "")</f>
        <v>RECEIVED</v>
      </c>
    </row>
    <row r="103" spans="1:12" ht="30" customHeight="1" x14ac:dyDescent="0.25">
      <c r="A103" t="s">
        <v>234</v>
      </c>
      <c r="B103" s="2">
        <v>780052</v>
      </c>
      <c r="C103" t="s">
        <v>362</v>
      </c>
      <c r="D103" s="1" t="s">
        <v>143</v>
      </c>
      <c r="E103" t="b">
        <v>1</v>
      </c>
      <c r="F103" s="5">
        <v>350900</v>
      </c>
      <c r="G103" t="s">
        <v>363</v>
      </c>
      <c r="H103" t="s">
        <v>364</v>
      </c>
      <c r="I103" s="1" t="s">
        <v>365</v>
      </c>
      <c r="J103" s="60" t="str" cm="1">
        <f t="array" aca="1" ref="J103" ca="1">_xlfn.XLOOKUP(Assignments[[#This Row],[Company ID]], INDIRECT("'"&amp;Assignments[[#This Row],[Coordinator]]&amp;"'!$B:$B"), INDIRECT("'"&amp;Assignments[[#This Row],[Coordinator]]&amp;"'!$J:$J"), "")</f>
        <v>Full document set received and reconciled against the master vendor record; the W-9 needed a quick correction, now resolved. No further discrepancies found. Onboarding officially complete.</v>
      </c>
      <c r="K103" s="12" t="str" cm="1">
        <f t="array" aca="1" ref="K103" ca="1">_xlfn.XLOOKUP(Assignments[[#This Row],[Company ID]], INDIRECT("'"&amp;Assignments[[#This Row],[Coordinator]]&amp;"'!$B:$B"), INDIRECT("'"&amp;Assignments[[#This Row],[Coordinator]]&amp;"'!$K:$K"), "")</f>
        <v>Completion</v>
      </c>
      <c r="L103" s="12" t="b" cm="1">
        <f t="array" aca="1" ref="L103" ca="1">_xlfn.XLOOKUP(Assignments[[#This Row],[Company ID]], INDIRECT("'"&amp;Assignments[[#This Row],[Coordinator]]&amp;"'!$B:$B"), INDIRECT("'"&amp;Assignments[[#This Row],[Coordinator]]&amp;"'!$L:$L"), "")</f>
        <v>1</v>
      </c>
    </row>
    <row r="104" spans="1:12" ht="30" customHeight="1" x14ac:dyDescent="0.25">
      <c r="A104" t="s">
        <v>234</v>
      </c>
      <c r="B104" s="2">
        <v>386058</v>
      </c>
      <c r="C104" t="s">
        <v>366</v>
      </c>
      <c r="D104" s="1" t="s">
        <v>143</v>
      </c>
      <c r="E104" t="b">
        <v>1</v>
      </c>
      <c r="F104" s="5">
        <v>178000</v>
      </c>
      <c r="G104" t="s">
        <v>367</v>
      </c>
      <c r="H104" t="s">
        <v>368</v>
      </c>
      <c r="I104" s="1" t="s">
        <v>369</v>
      </c>
      <c r="J104" s="60" t="str" cm="1">
        <f t="array" aca="1" ref="J104" ca="1">_xlfn.XLOOKUP(Assignments[[#This Row],[Company ID]], INDIRECT("'"&amp;Assignments[[#This Row],[Coordinator]]&amp;"'!$B:$B"), INDIRECT("'"&amp;Assignments[[#This Row],[Coordinator]]&amp;"'!$J:$J"), "")</f>
        <v>Packet complete after the COI was uploaded, closing the final open item. Documents were cross-checked against contract requirements and approved. Vendor moved to active status.</v>
      </c>
      <c r="K104" s="12" t="str" cm="1">
        <f t="array" aca="1" ref="K104" ca="1">_xlfn.XLOOKUP(Assignments[[#This Row],[Company ID]], INDIRECT("'"&amp;Assignments[[#This Row],[Coordinator]]&amp;"'!$B:$B"), INDIRECT("'"&amp;Assignments[[#This Row],[Coordinator]]&amp;"'!$K:$K"), "")</f>
        <v>Completion</v>
      </c>
      <c r="L104" s="12" t="b" cm="1">
        <f t="array" aca="1" ref="L104" ca="1">_xlfn.XLOOKUP(Assignments[[#This Row],[Company ID]], INDIRECT("'"&amp;Assignments[[#This Row],[Coordinator]]&amp;"'!$B:$B"), INDIRECT("'"&amp;Assignments[[#This Row],[Coordinator]]&amp;"'!$L:$L"), "")</f>
        <v>1</v>
      </c>
    </row>
    <row r="105" spans="1:12" ht="30" customHeight="1" x14ac:dyDescent="0.25">
      <c r="A105" t="s">
        <v>234</v>
      </c>
      <c r="B105" s="2">
        <v>751673</v>
      </c>
      <c r="C105" t="s">
        <v>370</v>
      </c>
      <c r="D105" s="1" t="s">
        <v>160</v>
      </c>
      <c r="E105" t="b">
        <v>1</v>
      </c>
      <c r="F105" s="5">
        <v>244500</v>
      </c>
      <c r="G105" t="s">
        <v>371</v>
      </c>
      <c r="H105" t="s">
        <v>372</v>
      </c>
      <c r="I105" s="1" t="s">
        <v>373</v>
      </c>
      <c r="J105" s="60" t="str" cm="1">
        <f t="array" aca="1" ref="J105" ca="1">_xlfn.XLOOKUP(Assignments[[#This Row],[Company ID]], INDIRECT("'"&amp;Assignments[[#This Row],[Coordinator]]&amp;"'!$B:$B"), INDIRECT("'"&amp;Assignments[[#This Row],[Coordinator]]&amp;"'!$J:$J"), "")</f>
        <v>Contact delivered the Spend authorization ahead of the deadline, completing the packet. Coverage and W-9 details confirmed current. Cleared for daily operations support.</v>
      </c>
      <c r="K105" s="12" t="str" cm="1">
        <f t="array" aca="1" ref="K105" ca="1">_xlfn.XLOOKUP(Assignments[[#This Row],[Company ID]], INDIRECT("'"&amp;Assignments[[#This Row],[Coordinator]]&amp;"'!$B:$B"), INDIRECT("'"&amp;Assignments[[#This Row],[Coordinator]]&amp;"'!$K:$K"), "")</f>
        <v>Completion</v>
      </c>
      <c r="L105" s="12" t="b" cm="1">
        <f t="array" aca="1" ref="L105" ca="1">_xlfn.XLOOKUP(Assignments[[#This Row],[Company ID]], INDIRECT("'"&amp;Assignments[[#This Row],[Coordinator]]&amp;"'!$B:$B"), INDIRECT("'"&amp;Assignments[[#This Row],[Coordinator]]&amp;"'!$L:$L"), "")</f>
        <v>1</v>
      </c>
    </row>
    <row r="106" spans="1:12" ht="30" customHeight="1" x14ac:dyDescent="0.25">
      <c r="A106" t="s">
        <v>234</v>
      </c>
      <c r="B106" s="2">
        <v>807058</v>
      </c>
      <c r="C106" t="s">
        <v>374</v>
      </c>
      <c r="D106" s="1" t="s">
        <v>160</v>
      </c>
      <c r="E106" t="b">
        <v>1</v>
      </c>
      <c r="F106" s="5">
        <v>9600</v>
      </c>
      <c r="G106" t="s">
        <v>375</v>
      </c>
      <c r="H106" t="s">
        <v>376</v>
      </c>
      <c r="I106" s="1" t="s">
        <v>377</v>
      </c>
      <c r="J106" s="60" t="str" cm="1">
        <f t="array" aca="1" ref="J106" ca="1">_xlfn.XLOOKUP(Assignments[[#This Row],[Company ID]], INDIRECT("'"&amp;Assignments[[#This Row],[Coordinator]]&amp;"'!$B:$B"), INDIRECT("'"&amp;Assignments[[#This Row],[Coordinator]]&amp;"'!$J:$J"), "")</f>
        <v>Contact delivered the W-9 ahead of the deadline, completing the packet. Coverage and W-9 details confirmed current. Cleared for daily operations support.</v>
      </c>
      <c r="K106" s="12" t="str" cm="1">
        <f t="array" aca="1" ref="K106" ca="1">_xlfn.XLOOKUP(Assignments[[#This Row],[Company ID]], INDIRECT("'"&amp;Assignments[[#This Row],[Coordinator]]&amp;"'!$B:$B"), INDIRECT("'"&amp;Assignments[[#This Row],[Coordinator]]&amp;"'!$K:$K"), "")</f>
        <v>Completion</v>
      </c>
      <c r="L106" s="12" t="b" cm="1">
        <f t="array" aca="1" ref="L106" ca="1">_xlfn.XLOOKUP(Assignments[[#This Row],[Company ID]], INDIRECT("'"&amp;Assignments[[#This Row],[Coordinator]]&amp;"'!$B:$B"), INDIRECT("'"&amp;Assignments[[#This Row],[Coordinator]]&amp;"'!$L:$L"), "")</f>
        <v>1</v>
      </c>
    </row>
    <row r="107" spans="1:12" ht="30" customHeight="1" x14ac:dyDescent="0.25">
      <c r="A107" t="s">
        <v>234</v>
      </c>
      <c r="B107" s="2">
        <v>787491</v>
      </c>
      <c r="C107" t="s">
        <v>378</v>
      </c>
      <c r="D107" s="1" t="s">
        <v>160</v>
      </c>
      <c r="E107" t="b">
        <v>1</v>
      </c>
      <c r="F107" s="5">
        <v>153300</v>
      </c>
      <c r="G107" t="s">
        <v>379</v>
      </c>
      <c r="H107" t="s">
        <v>380</v>
      </c>
      <c r="I107" s="1" t="s">
        <v>381</v>
      </c>
      <c r="J107" s="60" t="str" cm="1">
        <f t="array" aca="1" ref="J107" ca="1">_xlfn.XLOOKUP(Assignments[[#This Row],[Company ID]], INDIRECT("'"&amp;Assignments[[#This Row],[Coordinator]]&amp;"'!$B:$B"), INDIRECT("'"&amp;Assignments[[#This Row],[Coordinator]]&amp;"'!$J:$J"), "")</f>
        <v>Documents delayed — the contact's finance lead is out on PTO. Contact confirmed the item is in progress. Monitoring and following up next week.</v>
      </c>
      <c r="K107" s="12" t="str" cm="1">
        <f t="array" aca="1" ref="K107" ca="1">_xlfn.XLOOKUP(Assignments[[#This Row],[Company ID]], INDIRECT("'"&amp;Assignments[[#This Row],[Coordinator]]&amp;"'!$B:$B"), INDIRECT("'"&amp;Assignments[[#This Row],[Coordinator]]&amp;"'!$K:$K"), "")</f>
        <v>Delayed</v>
      </c>
      <c r="L107" s="12" t="b" cm="1">
        <f t="array" aca="1" ref="L107" ca="1">_xlfn.XLOOKUP(Assignments[[#This Row],[Company ID]], INDIRECT("'"&amp;Assignments[[#This Row],[Coordinator]]&amp;"'!$B:$B"), INDIRECT("'"&amp;Assignments[[#This Row],[Coordinator]]&amp;"'!$L:$L"), "")</f>
        <v>0</v>
      </c>
    </row>
    <row r="108" spans="1:12" ht="30" customHeight="1" x14ac:dyDescent="0.25">
      <c r="A108" t="s">
        <v>234</v>
      </c>
      <c r="B108" s="2">
        <v>559749</v>
      </c>
      <c r="C108" t="s">
        <v>382</v>
      </c>
      <c r="D108" s="1" t="s">
        <v>160</v>
      </c>
      <c r="E108" t="b">
        <v>1</v>
      </c>
      <c r="F108" s="5">
        <v>143300</v>
      </c>
      <c r="G108" t="s">
        <v>383</v>
      </c>
      <c r="H108" t="s">
        <v>384</v>
      </c>
      <c r="I108" s="1" t="s">
        <v>385</v>
      </c>
      <c r="J108" s="60" t="str" cm="1">
        <f t="array" aca="1" ref="J108" ca="1">_xlfn.XLOOKUP(Assignments[[#This Row],[Company ID]], INDIRECT("'"&amp;Assignments[[#This Row],[Coordinator]]&amp;"'!$B:$B"), INDIRECT("'"&amp;Assignments[[#This Row],[Coordinator]]&amp;"'!$J:$J"), "")</f>
        <v>The coi held up because of a legal entity name change working through their system. Contact is actively working it and apologized for the lag. New target is next week.</v>
      </c>
      <c r="K108" s="12" t="str" cm="1">
        <f t="array" aca="1" ref="K108" ca="1">_xlfn.XLOOKUP(Assignments[[#This Row],[Company ID]], INDIRECT("'"&amp;Assignments[[#This Row],[Coordinator]]&amp;"'!$B:$B"), INDIRECT("'"&amp;Assignments[[#This Row],[Coordinator]]&amp;"'!$K:$K"), "")</f>
        <v>Delayed</v>
      </c>
      <c r="L108" s="12" t="b" cm="1">
        <f t="array" aca="1" ref="L108" ca="1">_xlfn.XLOOKUP(Assignments[[#This Row],[Company ID]], INDIRECT("'"&amp;Assignments[[#This Row],[Coordinator]]&amp;"'!$B:$B"), INDIRECT("'"&amp;Assignments[[#This Row],[Coordinator]]&amp;"'!$L:$L"), "")</f>
        <v>0</v>
      </c>
    </row>
    <row r="109" spans="1:12" ht="30" customHeight="1" x14ac:dyDescent="0.25">
      <c r="A109" t="s">
        <v>234</v>
      </c>
      <c r="B109" s="2">
        <v>658902</v>
      </c>
      <c r="C109" t="s">
        <v>386</v>
      </c>
      <c r="D109" s="1" t="s">
        <v>160</v>
      </c>
      <c r="E109" t="b">
        <v>1</v>
      </c>
      <c r="F109" s="5">
        <v>132900</v>
      </c>
      <c r="G109" t="s">
        <v>387</v>
      </c>
      <c r="H109" t="s">
        <v>388</v>
      </c>
      <c r="I109" s="1" t="s">
        <v>389</v>
      </c>
      <c r="J109" s="60" t="str" cm="1">
        <f t="array" aca="1" ref="J109" ca="1">_xlfn.XLOOKUP(Assignments[[#This Row],[Company ID]], INDIRECT("'"&amp;Assignments[[#This Row],[Coordinator]]&amp;"'!$B:$B"), INDIRECT("'"&amp;Assignments[[#This Row],[Coordinator]]&amp;"'!$J:$J"), "")</f>
        <v>First batch received: the COI logged and approved. Still awaiting the Spend authorization and the W-9. Contact committed to finishing by Tuesday.</v>
      </c>
      <c r="K109" s="12" t="str" cm="1">
        <f t="array" aca="1" ref="K109" ca="1">_xlfn.XLOOKUP(Assignments[[#This Row],[Company ID]], INDIRECT("'"&amp;Assignments[[#This Row],[Coordinator]]&amp;"'!$B:$B"), INDIRECT("'"&amp;Assignments[[#This Row],[Coordinator]]&amp;"'!$K:$K"), "")</f>
        <v>Received</v>
      </c>
      <c r="L109" s="12" t="str" cm="1">
        <f t="array" aca="1" ref="L109" ca="1">_xlfn.XLOOKUP(Assignments[[#This Row],[Company ID]], INDIRECT("'"&amp;Assignments[[#This Row],[Coordinator]]&amp;"'!$B:$B"), INDIRECT("'"&amp;Assignments[[#This Row],[Coordinator]]&amp;"'!$L:$L"), "")</f>
        <v>RECEIVED</v>
      </c>
    </row>
    <row r="110" spans="1:12" ht="30" customHeight="1" x14ac:dyDescent="0.25">
      <c r="A110" t="s">
        <v>234</v>
      </c>
      <c r="B110" s="2">
        <v>128505</v>
      </c>
      <c r="C110" t="s">
        <v>390</v>
      </c>
      <c r="D110" s="1" t="s">
        <v>160</v>
      </c>
      <c r="E110" t="b">
        <v>1</v>
      </c>
      <c r="F110" s="5">
        <v>82500</v>
      </c>
      <c r="G110" t="s">
        <v>391</v>
      </c>
      <c r="H110" t="s">
        <v>392</v>
      </c>
      <c r="I110" s="1" t="s">
        <v>393</v>
      </c>
      <c r="J110" s="60" t="str" cm="1">
        <f t="array" aca="1" ref="J110" ca="1">_xlfn.XLOOKUP(Assignments[[#This Row],[Company ID]], INDIRECT("'"&amp;Assignments[[#This Row],[Coordinator]]&amp;"'!$B:$B"), INDIRECT("'"&amp;Assignments[[#This Row],[Coordinator]]&amp;"'!$J:$J"), "")</f>
        <v>The spend authorization received and verified; the W-9 and the COI still outstanding. Contact confirmed the remainder will be submitted by Wednesday. Following up then.</v>
      </c>
      <c r="K110" s="12" t="str" cm="1">
        <f t="array" aca="1" ref="K110" ca="1">_xlfn.XLOOKUP(Assignments[[#This Row],[Company ID]], INDIRECT("'"&amp;Assignments[[#This Row],[Coordinator]]&amp;"'!$B:$B"), INDIRECT("'"&amp;Assignments[[#This Row],[Coordinator]]&amp;"'!$K:$K"), "")</f>
        <v>Received</v>
      </c>
      <c r="L110" s="12" t="str" cm="1">
        <f t="array" aca="1" ref="L110" ca="1">_xlfn.XLOOKUP(Assignments[[#This Row],[Company ID]], INDIRECT("'"&amp;Assignments[[#This Row],[Coordinator]]&amp;"'!$B:$B"), INDIRECT("'"&amp;Assignments[[#This Row],[Coordinator]]&amp;"'!$L:$L"), "")</f>
        <v>RECEIVED</v>
      </c>
    </row>
    <row r="111" spans="1:12" ht="30" customHeight="1" x14ac:dyDescent="0.25">
      <c r="A111" t="s">
        <v>234</v>
      </c>
      <c r="B111" s="2">
        <v>180027</v>
      </c>
      <c r="C111" t="s">
        <v>394</v>
      </c>
      <c r="D111" s="1" t="s">
        <v>185</v>
      </c>
      <c r="E111" t="b">
        <v>1</v>
      </c>
      <c r="F111" s="5">
        <v>63000</v>
      </c>
      <c r="G111" t="s">
        <v>395</v>
      </c>
      <c r="H111" t="s">
        <v>396</v>
      </c>
      <c r="I111" s="1" t="s">
        <v>397</v>
      </c>
      <c r="J111" s="60" t="str" cm="1">
        <f t="array" aca="1" ref="J111" ca="1">_xlfn.XLOOKUP(Assignments[[#This Row],[Company ID]], INDIRECT("'"&amp;Assignments[[#This Row],[Coordinator]]&amp;"'!$B:$B"), INDIRECT("'"&amp;Assignments[[#This Row],[Coordinator]]&amp;"'!$J:$J"), "")</f>
        <v>Everything is in — the W-9 arrived this Tuesday and matched our records. Contact was proactive throughout. Onboarding complete.</v>
      </c>
      <c r="K111" s="12" t="str" cm="1">
        <f t="array" aca="1" ref="K111" ca="1">_xlfn.XLOOKUP(Assignments[[#This Row],[Company ID]], INDIRECT("'"&amp;Assignments[[#This Row],[Coordinator]]&amp;"'!$B:$B"), INDIRECT("'"&amp;Assignments[[#This Row],[Coordinator]]&amp;"'!$K:$K"), "")</f>
        <v>Completion</v>
      </c>
      <c r="L111" s="12" t="b" cm="1">
        <f t="array" aca="1" ref="L111" ca="1">_xlfn.XLOOKUP(Assignments[[#This Row],[Company ID]], INDIRECT("'"&amp;Assignments[[#This Row],[Coordinator]]&amp;"'!$B:$B"), INDIRECT("'"&amp;Assignments[[#This Row],[Coordinator]]&amp;"'!$L:$L"), "")</f>
        <v>1</v>
      </c>
    </row>
    <row r="112" spans="1:12" ht="30" customHeight="1" x14ac:dyDescent="0.25">
      <c r="A112" t="s">
        <v>234</v>
      </c>
      <c r="B112" s="2">
        <v>752539</v>
      </c>
      <c r="C112" t="s">
        <v>398</v>
      </c>
      <c r="D112" s="1" t="s">
        <v>185</v>
      </c>
      <c r="E112" t="b">
        <v>1</v>
      </c>
      <c r="F112" s="5">
        <v>541100</v>
      </c>
      <c r="G112" t="s">
        <v>399</v>
      </c>
      <c r="H112" t="s">
        <v>400</v>
      </c>
      <c r="I112" s="1" t="s">
        <v>401</v>
      </c>
      <c r="J112" s="60" t="str" cm="1">
        <f t="array" aca="1" ref="J112" ca="1">_xlfn.XLOOKUP(Assignments[[#This Row],[Company ID]], INDIRECT("'"&amp;Assignments[[#This Row],[Coordinator]]&amp;"'!$B:$B"), INDIRECT("'"&amp;Assignments[[#This Row],[Coordinator]]&amp;"'!$J:$J"), "")</f>
        <v>Contact uploaded the W-9; the Spend authorization and the COI to follow once signed. Communication has been solid. Next check-in Wednesday.</v>
      </c>
      <c r="K112" s="12" t="str" cm="1">
        <f t="array" aca="1" ref="K112" ca="1">_xlfn.XLOOKUP(Assignments[[#This Row],[Company ID]], INDIRECT("'"&amp;Assignments[[#This Row],[Coordinator]]&amp;"'!$B:$B"), INDIRECT("'"&amp;Assignments[[#This Row],[Coordinator]]&amp;"'!$K:$K"), "")</f>
        <v>Received</v>
      </c>
      <c r="L112" s="12" t="str" cm="1">
        <f t="array" aca="1" ref="L112" ca="1">_xlfn.XLOOKUP(Assignments[[#This Row],[Company ID]], INDIRECT("'"&amp;Assignments[[#This Row],[Coordinator]]&amp;"'!$B:$B"), INDIRECT("'"&amp;Assignments[[#This Row],[Coordinator]]&amp;"'!$L:$L"), "")</f>
        <v>RECEIVED</v>
      </c>
    </row>
    <row r="113" spans="1:12" ht="30" customHeight="1" x14ac:dyDescent="0.25">
      <c r="A113" t="s">
        <v>234</v>
      </c>
      <c r="B113" s="2">
        <v>592207</v>
      </c>
      <c r="C113" t="s">
        <v>402</v>
      </c>
      <c r="D113" s="1" t="s">
        <v>185</v>
      </c>
      <c r="E113" t="b">
        <v>1</v>
      </c>
      <c r="F113" s="5">
        <v>500000</v>
      </c>
      <c r="G113" t="s">
        <v>403</v>
      </c>
      <c r="H113" t="s">
        <v>404</v>
      </c>
      <c r="I113" s="1" t="s">
        <v>405</v>
      </c>
      <c r="J113" s="60" t="str" cm="1">
        <f t="array" aca="1" ref="J113" ca="1">_xlfn.XLOOKUP(Assignments[[#This Row],[Company ID]], INDIRECT("'"&amp;Assignments[[#This Row],[Coordinator]]&amp;"'!$B:$B"), INDIRECT("'"&amp;Assignments[[#This Row],[Coordinator]]&amp;"'!$J:$J"), "")</f>
        <v>Progressing well: the COI and the W-9 accepted and logged. Outstanding item is the Spend authorization, which the contact expects by Wednesday. Steady communication.</v>
      </c>
      <c r="K113" s="12" t="str" cm="1">
        <f t="array" aca="1" ref="K113" ca="1">_xlfn.XLOOKUP(Assignments[[#This Row],[Company ID]], INDIRECT("'"&amp;Assignments[[#This Row],[Coordinator]]&amp;"'!$B:$B"), INDIRECT("'"&amp;Assignments[[#This Row],[Coordinator]]&amp;"'!$K:$K"), "")</f>
        <v>Received</v>
      </c>
      <c r="L113" s="12" t="str" cm="1">
        <f t="array" aca="1" ref="L113" ca="1">_xlfn.XLOOKUP(Assignments[[#This Row],[Company ID]], INDIRECT("'"&amp;Assignments[[#This Row],[Coordinator]]&amp;"'!$B:$B"), INDIRECT("'"&amp;Assignments[[#This Row],[Coordinator]]&amp;"'!$L:$L"), "")</f>
        <v>RECEIVED</v>
      </c>
    </row>
    <row r="114" spans="1:12" ht="30" customHeight="1" x14ac:dyDescent="0.25">
      <c r="A114" t="s">
        <v>234</v>
      </c>
      <c r="B114" s="2">
        <v>363199</v>
      </c>
      <c r="C114" t="s">
        <v>406</v>
      </c>
      <c r="D114" s="1" t="s">
        <v>185</v>
      </c>
      <c r="E114" t="b">
        <v>1</v>
      </c>
      <c r="F114" s="5">
        <v>72200</v>
      </c>
      <c r="G114" t="s">
        <v>407</v>
      </c>
      <c r="H114" t="s">
        <v>408</v>
      </c>
      <c r="I114" s="1" t="s">
        <v>409</v>
      </c>
      <c r="J114" s="60" t="str" cm="1">
        <f t="array" aca="1" ref="J114" ca="1">_xlfn.XLOOKUP(Assignments[[#This Row],[Company ID]], INDIRECT("'"&amp;Assignments[[#This Row],[Coordinator]]&amp;"'!$B:$B"), INDIRECT("'"&amp;Assignments[[#This Row],[Coordinator]]&amp;"'!$J:$J"), "")</f>
        <v>The coi and the w-9 received and verified; the Spend authorization still outstanding. Contact confirmed the remainder will be submitted by Wednesday. Following up then.</v>
      </c>
      <c r="K114" s="12" t="str" cm="1">
        <f t="array" aca="1" ref="K114" ca="1">_xlfn.XLOOKUP(Assignments[[#This Row],[Company ID]], INDIRECT("'"&amp;Assignments[[#This Row],[Coordinator]]&amp;"'!$B:$B"), INDIRECT("'"&amp;Assignments[[#This Row],[Coordinator]]&amp;"'!$K:$K"), "")</f>
        <v>Received</v>
      </c>
      <c r="L114" s="12" t="str" cm="1">
        <f t="array" aca="1" ref="L114" ca="1">_xlfn.XLOOKUP(Assignments[[#This Row],[Company ID]], INDIRECT("'"&amp;Assignments[[#This Row],[Coordinator]]&amp;"'!$B:$B"), INDIRECT("'"&amp;Assignments[[#This Row],[Coordinator]]&amp;"'!$L:$L"), "")</f>
        <v>RECEIVED</v>
      </c>
    </row>
    <row r="115" spans="1:12" ht="30" customHeight="1" x14ac:dyDescent="0.25">
      <c r="A115" t="s">
        <v>234</v>
      </c>
      <c r="B115" s="2">
        <v>404800</v>
      </c>
      <c r="C115" t="s">
        <v>410</v>
      </c>
      <c r="D115" s="1" t="s">
        <v>185</v>
      </c>
      <c r="E115" t="b">
        <v>1</v>
      </c>
      <c r="F115" s="5">
        <v>41900</v>
      </c>
      <c r="G115" t="s">
        <v>411</v>
      </c>
      <c r="H115" t="s">
        <v>412</v>
      </c>
      <c r="I115" s="1" t="s">
        <v>413</v>
      </c>
      <c r="J115" s="60" t="str" cm="1">
        <f t="array" aca="1" ref="J115" ca="1">_xlfn.XLOOKUP(Assignments[[#This Row],[Company ID]], INDIRECT("'"&amp;Assignments[[#This Row],[Coordinator]]&amp;"'!$B:$B"), INDIRECT("'"&amp;Assignments[[#This Row],[Coordinator]]&amp;"'!$J:$J"), "")</f>
        <v>Contact delivered the Spend authorization ahead of the deadline, completing the packet. Coverage and W-9 details confirmed current. Cleared for daily operations support.</v>
      </c>
      <c r="K115" s="12" t="str" cm="1">
        <f t="array" aca="1" ref="K115" ca="1">_xlfn.XLOOKUP(Assignments[[#This Row],[Company ID]], INDIRECT("'"&amp;Assignments[[#This Row],[Coordinator]]&amp;"'!$B:$B"), INDIRECT("'"&amp;Assignments[[#This Row],[Coordinator]]&amp;"'!$K:$K"), "")</f>
        <v>Completion</v>
      </c>
      <c r="L115" s="12" t="b" cm="1">
        <f t="array" aca="1" ref="L115" ca="1">_xlfn.XLOOKUP(Assignments[[#This Row],[Company ID]], INDIRECT("'"&amp;Assignments[[#This Row],[Coordinator]]&amp;"'!$B:$B"), INDIRECT("'"&amp;Assignments[[#This Row],[Coordinator]]&amp;"'!$L:$L"), "")</f>
        <v>1</v>
      </c>
    </row>
    <row r="116" spans="1:12" ht="30" customHeight="1" x14ac:dyDescent="0.25">
      <c r="A116" t="s">
        <v>234</v>
      </c>
      <c r="B116" s="2">
        <v>801030</v>
      </c>
      <c r="C116" t="s">
        <v>414</v>
      </c>
      <c r="D116" s="1" t="s">
        <v>185</v>
      </c>
      <c r="E116" t="b">
        <v>1</v>
      </c>
      <c r="F116" s="5">
        <v>446700</v>
      </c>
      <c r="G116" t="s">
        <v>415</v>
      </c>
      <c r="H116" t="s">
        <v>416</v>
      </c>
      <c r="I116" s="1" t="s">
        <v>417</v>
      </c>
      <c r="J116" s="60" t="str" cm="1">
        <f t="array" aca="1" ref="J116" ca="1">_xlfn.XLOOKUP(Assignments[[#This Row],[Company ID]], INDIRECT("'"&amp;Assignments[[#This Row],[Coordinator]]&amp;"'!$B:$B"), INDIRECT("'"&amp;Assignments[[#This Row],[Coordinator]]&amp;"'!$J:$J"), "")</f>
        <v>Onboarding finalized after a short verification call this Thursday. Every document is signed, dated, and on file. Ready for service assignment.</v>
      </c>
      <c r="K116" s="12" t="str" cm="1">
        <f t="array" aca="1" ref="K116" ca="1">_xlfn.XLOOKUP(Assignments[[#This Row],[Company ID]], INDIRECT("'"&amp;Assignments[[#This Row],[Coordinator]]&amp;"'!$B:$B"), INDIRECT("'"&amp;Assignments[[#This Row],[Coordinator]]&amp;"'!$K:$K"), "")</f>
        <v>Completion</v>
      </c>
      <c r="L116" s="12" t="b" cm="1">
        <f t="array" aca="1" ref="L116" ca="1">_xlfn.XLOOKUP(Assignments[[#This Row],[Company ID]], INDIRECT("'"&amp;Assignments[[#This Row],[Coordinator]]&amp;"'!$B:$B"), INDIRECT("'"&amp;Assignments[[#This Row],[Coordinator]]&amp;"'!$L:$L"), "")</f>
        <v>1</v>
      </c>
    </row>
    <row r="117" spans="1:12" ht="30" customHeight="1" x14ac:dyDescent="0.25">
      <c r="A117" t="s">
        <v>234</v>
      </c>
      <c r="B117" s="2">
        <v>944039</v>
      </c>
      <c r="C117" t="s">
        <v>418</v>
      </c>
      <c r="D117" s="1" t="s">
        <v>419</v>
      </c>
      <c r="E117" t="b">
        <v>0</v>
      </c>
      <c r="F117" s="5">
        <v>15200</v>
      </c>
      <c r="G117" t="s">
        <v>420</v>
      </c>
      <c r="H117" t="s">
        <v>421</v>
      </c>
      <c r="I117" s="1" t="s">
        <v>422</v>
      </c>
      <c r="J117" s="60" t="str" cm="1">
        <f t="array" aca="1" ref="J117" ca="1">_xlfn.XLOOKUP(Assignments[[#This Row],[Company ID]], INDIRECT("'"&amp;Assignments[[#This Row],[Coordinator]]&amp;"'!$B:$B"), INDIRECT("'"&amp;Assignments[[#This Row],[Coordinator]]&amp;"'!$J:$J"), "")</f>
        <v>The coi and the spend authorization received and verified; the W-9 still outstanding. Contact confirmed the remainder will be submitted by Tuesday. Following up then.</v>
      </c>
      <c r="K117" s="12" t="str" cm="1">
        <f t="array" aca="1" ref="K117" ca="1">_xlfn.XLOOKUP(Assignments[[#This Row],[Company ID]], INDIRECT("'"&amp;Assignments[[#This Row],[Coordinator]]&amp;"'!$B:$B"), INDIRECT("'"&amp;Assignments[[#This Row],[Coordinator]]&amp;"'!$K:$K"), "")</f>
        <v>Received</v>
      </c>
      <c r="L117" s="12" t="str" cm="1">
        <f t="array" aca="1" ref="L117" ca="1">_xlfn.XLOOKUP(Assignments[[#This Row],[Company ID]], INDIRECT("'"&amp;Assignments[[#This Row],[Coordinator]]&amp;"'!$B:$B"), INDIRECT("'"&amp;Assignments[[#This Row],[Coordinator]]&amp;"'!$L:$L"), "")</f>
        <v>RECEIVED</v>
      </c>
    </row>
    <row r="118" spans="1:12" ht="30" customHeight="1" x14ac:dyDescent="0.25">
      <c r="A118" t="s">
        <v>234</v>
      </c>
      <c r="B118" s="2">
        <v>342572</v>
      </c>
      <c r="C118" t="s">
        <v>423</v>
      </c>
      <c r="D118" s="1" t="s">
        <v>216</v>
      </c>
      <c r="E118" t="b">
        <v>0</v>
      </c>
      <c r="F118" s="5">
        <v>61200</v>
      </c>
      <c r="G118" t="s">
        <v>424</v>
      </c>
      <c r="H118" t="s">
        <v>425</v>
      </c>
      <c r="I118" s="1" t="s">
        <v>426</v>
      </c>
      <c r="J118" s="60" t="str" cm="1">
        <f t="array" aca="1" ref="J118" ca="1">_xlfn.XLOOKUP(Assignments[[#This Row],[Company ID]], INDIRECT("'"&amp;Assignments[[#This Row],[Coordinator]]&amp;"'!$B:$B"), INDIRECT("'"&amp;Assignments[[#This Row],[Coordinator]]&amp;"'!$J:$J"), "")</f>
        <v>The coi is delayed due to a vendor-side system migration that temporarily locked their files. A short extension was granted and acknowledged. Will re-check status by Friday.</v>
      </c>
      <c r="K118" s="12" t="str" cm="1">
        <f t="array" aca="1" ref="K118" ca="1">_xlfn.XLOOKUP(Assignments[[#This Row],[Company ID]], INDIRECT("'"&amp;Assignments[[#This Row],[Coordinator]]&amp;"'!$B:$B"), INDIRECT("'"&amp;Assignments[[#This Row],[Coordinator]]&amp;"'!$K:$K"), "")</f>
        <v>Delayed</v>
      </c>
      <c r="L118" s="12" t="b" cm="1">
        <f t="array" aca="1" ref="L118" ca="1">_xlfn.XLOOKUP(Assignments[[#This Row],[Company ID]], INDIRECT("'"&amp;Assignments[[#This Row],[Coordinator]]&amp;"'!$B:$B"), INDIRECT("'"&amp;Assignments[[#This Row],[Coordinator]]&amp;"'!$L:$L"), "")</f>
        <v>0</v>
      </c>
    </row>
    <row r="119" spans="1:12" ht="30" customHeight="1" x14ac:dyDescent="0.25">
      <c r="A119" t="s">
        <v>234</v>
      </c>
      <c r="B119" s="2">
        <v>540366</v>
      </c>
      <c r="C119" t="s">
        <v>427</v>
      </c>
      <c r="D119" s="1" t="s">
        <v>221</v>
      </c>
      <c r="E119" t="b">
        <v>0</v>
      </c>
      <c r="F119" s="5">
        <v>13900</v>
      </c>
      <c r="G119" t="s">
        <v>428</v>
      </c>
      <c r="H119" t="s">
        <v>429</v>
      </c>
      <c r="I119" s="1" t="s">
        <v>430</v>
      </c>
      <c r="J119" s="60" t="str" cm="1">
        <f t="array" aca="1" ref="J119" ca="1">_xlfn.XLOOKUP(Assignments[[#This Row],[Company ID]], INDIRECT("'"&amp;Assignments[[#This Row],[Coordinator]]&amp;"'!$B:$B"), INDIRECT("'"&amp;Assignments[[#This Row],[Coordinator]]&amp;"'!$J:$J"), "")</f>
        <v>Submission of the W-9 stalled because of an internal signature backlog on the vendor's side. Contact remains responsive despite the holdup. Re-checking Monday.</v>
      </c>
      <c r="K119" s="12" t="str" cm="1">
        <f t="array" aca="1" ref="K119" ca="1">_xlfn.XLOOKUP(Assignments[[#This Row],[Company ID]], INDIRECT("'"&amp;Assignments[[#This Row],[Coordinator]]&amp;"'!$B:$B"), INDIRECT("'"&amp;Assignments[[#This Row],[Coordinator]]&amp;"'!$K:$K"), "")</f>
        <v>Delayed</v>
      </c>
      <c r="L119" s="12" t="b" cm="1">
        <f t="array" aca="1" ref="L119" ca="1">_xlfn.XLOOKUP(Assignments[[#This Row],[Company ID]], INDIRECT("'"&amp;Assignments[[#This Row],[Coordinator]]&amp;"'!$B:$B"), INDIRECT("'"&amp;Assignments[[#This Row],[Coordinator]]&amp;"'!$L:$L"), "")</f>
        <v>0</v>
      </c>
    </row>
    <row r="120" spans="1:12" ht="30" customHeight="1" x14ac:dyDescent="0.25">
      <c r="A120" t="s">
        <v>234</v>
      </c>
      <c r="B120" s="2">
        <v>866025</v>
      </c>
      <c r="C120" t="s">
        <v>431</v>
      </c>
      <c r="D120" s="1" t="s">
        <v>432</v>
      </c>
      <c r="E120" t="b">
        <v>0</v>
      </c>
      <c r="F120" s="5">
        <v>109800</v>
      </c>
      <c r="G120" t="s">
        <v>433</v>
      </c>
      <c r="H120" t="s">
        <v>434</v>
      </c>
      <c r="I120" s="1" t="s">
        <v>435</v>
      </c>
      <c r="J120" s="60" t="str" cm="1">
        <f t="array" aca="1" ref="J120" ca="1">_xlfn.XLOOKUP(Assignments[[#This Row],[Company ID]], INDIRECT("'"&amp;Assignments[[#This Row],[Coordinator]]&amp;"'!$B:$B"), INDIRECT("'"&amp;Assignments[[#This Row],[Coordinator]]&amp;"'!$J:$J"), "")</f>
        <v>The coi was the last piece and it cleared review this Friday. COI, W-9, and Spend authorization are all validated. Vendor activated and notified.</v>
      </c>
      <c r="K120" s="12" t="str" cm="1">
        <f t="array" aca="1" ref="K120" ca="1">_xlfn.XLOOKUP(Assignments[[#This Row],[Company ID]], INDIRECT("'"&amp;Assignments[[#This Row],[Coordinator]]&amp;"'!$B:$B"), INDIRECT("'"&amp;Assignments[[#This Row],[Coordinator]]&amp;"'!$K:$K"), "")</f>
        <v>Completion</v>
      </c>
      <c r="L120" s="12" t="b" cm="1">
        <f t="array" aca="1" ref="L120" ca="1">_xlfn.XLOOKUP(Assignments[[#This Row],[Company ID]], INDIRECT("'"&amp;Assignments[[#This Row],[Coordinator]]&amp;"'!$B:$B"), INDIRECT("'"&amp;Assignments[[#This Row],[Coordinator]]&amp;"'!$L:$L"), "")</f>
        <v>1</v>
      </c>
    </row>
    <row r="121" spans="1:12" ht="30" customHeight="1" x14ac:dyDescent="0.25">
      <c r="A121" t="s">
        <v>234</v>
      </c>
      <c r="B121" s="2">
        <v>976981</v>
      </c>
      <c r="C121" t="s">
        <v>436</v>
      </c>
      <c r="D121" s="1" t="s">
        <v>437</v>
      </c>
      <c r="E121" t="b">
        <v>0</v>
      </c>
      <c r="F121" s="5">
        <v>34400</v>
      </c>
      <c r="G121" t="s">
        <v>438</v>
      </c>
      <c r="H121" t="s">
        <v>213</v>
      </c>
      <c r="I121" s="1" t="s">
        <v>439</v>
      </c>
      <c r="J121" s="60" t="str" cm="1">
        <f t="array" aca="1" ref="J121" ca="1">_xlfn.XLOOKUP(Assignments[[#This Row],[Company ID]], INDIRECT("'"&amp;Assignments[[#This Row],[Coordinator]]&amp;"'!$B:$B"), INDIRECT("'"&amp;Assignments[[#This Row],[Coordinator]]&amp;"'!$J:$J"), "")</f>
        <v>The w-9 and the spend authorization received and verified; the COI still outstanding. Contact confirmed the remainder will be submitted by Friday. Following up then.</v>
      </c>
      <c r="K121" s="12" t="str" cm="1">
        <f t="array" aca="1" ref="K121" ca="1">_xlfn.XLOOKUP(Assignments[[#This Row],[Company ID]], INDIRECT("'"&amp;Assignments[[#This Row],[Coordinator]]&amp;"'!$B:$B"), INDIRECT("'"&amp;Assignments[[#This Row],[Coordinator]]&amp;"'!$K:$K"), "")</f>
        <v>Received</v>
      </c>
      <c r="L121" s="12" t="str" cm="1">
        <f t="array" aca="1" ref="L121" ca="1">_xlfn.XLOOKUP(Assignments[[#This Row],[Company ID]], INDIRECT("'"&amp;Assignments[[#This Row],[Coordinator]]&amp;"'!$B:$B"), INDIRECT("'"&amp;Assignments[[#This Row],[Coordinator]]&amp;"'!$L:$L"), "")</f>
        <v>RECEIVED</v>
      </c>
    </row>
    <row r="122" spans="1:12" ht="30" customHeight="1" x14ac:dyDescent="0.25">
      <c r="A122" t="s">
        <v>234</v>
      </c>
      <c r="B122" s="2">
        <v>637866</v>
      </c>
      <c r="C122" t="s">
        <v>440</v>
      </c>
      <c r="D122" s="1" t="s">
        <v>441</v>
      </c>
      <c r="E122" t="b">
        <v>0</v>
      </c>
      <c r="F122" s="5">
        <v>5700</v>
      </c>
      <c r="G122" t="s">
        <v>442</v>
      </c>
      <c r="H122" t="s">
        <v>443</v>
      </c>
      <c r="I122" s="1" t="s">
        <v>444</v>
      </c>
      <c r="J122" s="60" t="str" cm="1">
        <f t="array" aca="1" ref="J122" ca="1">_xlfn.XLOOKUP(Assignments[[#This Row],[Company ID]], INDIRECT("'"&amp;Assignments[[#This Row],[Coordinator]]&amp;"'!$B:$B"), INDIRECT("'"&amp;Assignments[[#This Row],[Coordinator]]&amp;"'!$J:$J"), "")</f>
        <v>The coi and the w-9 received and verified; the Spend authorization still outstanding. Contact confirmed the remainder will be submitted by Friday. Following up then.</v>
      </c>
      <c r="K122" s="12" t="str" cm="1">
        <f t="array" aca="1" ref="K122" ca="1">_xlfn.XLOOKUP(Assignments[[#This Row],[Company ID]], INDIRECT("'"&amp;Assignments[[#This Row],[Coordinator]]&amp;"'!$B:$B"), INDIRECT("'"&amp;Assignments[[#This Row],[Coordinator]]&amp;"'!$K:$K"), "")</f>
        <v>Received</v>
      </c>
      <c r="L122" s="12" t="str" cm="1">
        <f t="array" aca="1" ref="L122" ca="1">_xlfn.XLOOKUP(Assignments[[#This Row],[Company ID]], INDIRECT("'"&amp;Assignments[[#This Row],[Coordinator]]&amp;"'!$B:$B"), INDIRECT("'"&amp;Assignments[[#This Row],[Coordinator]]&amp;"'!$L:$L"), "")</f>
        <v>RECEIVED</v>
      </c>
    </row>
    <row r="123" spans="1:12" ht="30" customHeight="1" x14ac:dyDescent="0.25">
      <c r="A123" t="s">
        <v>234</v>
      </c>
      <c r="B123" s="2">
        <v>429497</v>
      </c>
      <c r="C123" t="s">
        <v>445</v>
      </c>
      <c r="D123" s="1" t="s">
        <v>446</v>
      </c>
      <c r="E123" t="b">
        <v>0</v>
      </c>
      <c r="F123" s="5">
        <v>22700</v>
      </c>
      <c r="G123" t="s">
        <v>74</v>
      </c>
      <c r="H123" t="s">
        <v>447</v>
      </c>
      <c r="I123" s="1" t="s">
        <v>448</v>
      </c>
      <c r="J123" s="60" t="str" cm="1">
        <f t="array" aca="1" ref="J123" ca="1">_xlfn.XLOOKUP(Assignments[[#This Row],[Company ID]], INDIRECT("'"&amp;Assignments[[#This Row],[Coordinator]]&amp;"'!$B:$B"), INDIRECT("'"&amp;Assignments[[#This Row],[Coordinator]]&amp;"'!$J:$J"), "")</f>
        <v>Received and accepted the Spend authorization, closing out the packet. No exceptions in compliance review. Vendor status set to active.</v>
      </c>
      <c r="K123" s="12" t="str" cm="1">
        <f t="array" aca="1" ref="K123" ca="1">_xlfn.XLOOKUP(Assignments[[#This Row],[Company ID]], INDIRECT("'"&amp;Assignments[[#This Row],[Coordinator]]&amp;"'!$B:$B"), INDIRECT("'"&amp;Assignments[[#This Row],[Coordinator]]&amp;"'!$K:$K"), "")</f>
        <v>Completion</v>
      </c>
      <c r="L123" s="12" t="b" cm="1">
        <f t="array" aca="1" ref="L123" ca="1">_xlfn.XLOOKUP(Assignments[[#This Row],[Company ID]], INDIRECT("'"&amp;Assignments[[#This Row],[Coordinator]]&amp;"'!$B:$B"), INDIRECT("'"&amp;Assignments[[#This Row],[Coordinator]]&amp;"'!$L:$L"), "")</f>
        <v>1</v>
      </c>
    </row>
    <row r="124" spans="1:12" ht="30" customHeight="1" x14ac:dyDescent="0.25">
      <c r="A124" t="s">
        <v>449</v>
      </c>
      <c r="B124" s="2">
        <v>127043</v>
      </c>
      <c r="C124" t="s">
        <v>450</v>
      </c>
      <c r="D124" s="1" t="s">
        <v>61</v>
      </c>
      <c r="E124" t="b">
        <v>1</v>
      </c>
      <c r="F124" s="5">
        <v>195600</v>
      </c>
      <c r="G124" t="s">
        <v>451</v>
      </c>
      <c r="H124" t="s">
        <v>452</v>
      </c>
      <c r="I124" s="1" t="s">
        <v>453</v>
      </c>
      <c r="J124" s="60" t="str" cm="1">
        <f t="array" aca="1" ref="J124" ca="1">_xlfn.XLOOKUP(Assignments[[#This Row],[Company ID]], INDIRECT("'"&amp;Assignments[[#This Row],[Coordinator]]&amp;"'!$B:$B"), INDIRECT("'"&amp;Assignments[[#This Row],[Coordinator]]&amp;"'!$J:$J"), "")</f>
        <v>First batch received: the W-9 logged and approved. Still awaiting the Spend authorization and the COI. Contact committed to finishing by Wednesday.</v>
      </c>
      <c r="K124" s="12" t="str" cm="1">
        <f t="array" aca="1" ref="K124" ca="1">_xlfn.XLOOKUP(Assignments[[#This Row],[Company ID]], INDIRECT("'"&amp;Assignments[[#This Row],[Coordinator]]&amp;"'!$B:$B"), INDIRECT("'"&amp;Assignments[[#This Row],[Coordinator]]&amp;"'!$K:$K"), "")</f>
        <v>Received</v>
      </c>
      <c r="L124" s="12" t="str" cm="1">
        <f t="array" aca="1" ref="L124" ca="1">_xlfn.XLOOKUP(Assignments[[#This Row],[Company ID]], INDIRECT("'"&amp;Assignments[[#This Row],[Coordinator]]&amp;"'!$B:$B"), INDIRECT("'"&amp;Assignments[[#This Row],[Coordinator]]&amp;"'!$L:$L"), "")</f>
        <v>RECEIVED</v>
      </c>
    </row>
    <row r="125" spans="1:12" ht="30" customHeight="1" x14ac:dyDescent="0.25">
      <c r="A125" t="s">
        <v>449</v>
      </c>
      <c r="B125" s="2">
        <v>334130</v>
      </c>
      <c r="C125" t="s">
        <v>454</v>
      </c>
      <c r="D125" s="1" t="s">
        <v>89</v>
      </c>
      <c r="E125" t="b">
        <v>1</v>
      </c>
      <c r="F125" s="5">
        <v>112000</v>
      </c>
      <c r="G125" t="s">
        <v>94</v>
      </c>
      <c r="H125" t="s">
        <v>455</v>
      </c>
      <c r="I125" s="1" t="s">
        <v>456</v>
      </c>
      <c r="J125" s="60" t="str" cm="1">
        <f t="array" aca="1" ref="J125" ca="1">_xlfn.XLOOKUP(Assignments[[#This Row],[Company ID]], INDIRECT("'"&amp;Assignments[[#This Row],[Coordinator]]&amp;"'!$B:$B"), INDIRECT("'"&amp;Assignments[[#This Row],[Coordinator]]&amp;"'!$J:$J"), "")</f>
        <v>The coi held up because of a corporate reorganization reassigning document ownership. Contact is actively working it and apologized for the lag. New target is next week.</v>
      </c>
      <c r="K125" s="12" t="str" cm="1">
        <f t="array" aca="1" ref="K125" ca="1">_xlfn.XLOOKUP(Assignments[[#This Row],[Company ID]], INDIRECT("'"&amp;Assignments[[#This Row],[Coordinator]]&amp;"'!$B:$B"), INDIRECT("'"&amp;Assignments[[#This Row],[Coordinator]]&amp;"'!$K:$K"), "")</f>
        <v>Delayed</v>
      </c>
      <c r="L125" s="12" t="b" cm="1">
        <f t="array" aca="1" ref="L125" ca="1">_xlfn.XLOOKUP(Assignments[[#This Row],[Company ID]], INDIRECT("'"&amp;Assignments[[#This Row],[Coordinator]]&amp;"'!$B:$B"), INDIRECT("'"&amp;Assignments[[#This Row],[Coordinator]]&amp;"'!$L:$L"), "")</f>
        <v>0</v>
      </c>
    </row>
    <row r="126" spans="1:12" ht="30" customHeight="1" x14ac:dyDescent="0.25">
      <c r="A126" t="s">
        <v>449</v>
      </c>
      <c r="B126" s="2">
        <v>304990</v>
      </c>
      <c r="C126" t="s">
        <v>457</v>
      </c>
      <c r="D126" s="1" t="s">
        <v>89</v>
      </c>
      <c r="E126" t="b">
        <v>1</v>
      </c>
      <c r="F126" s="5">
        <v>17200</v>
      </c>
      <c r="G126" t="s">
        <v>458</v>
      </c>
      <c r="H126" t="s">
        <v>459</v>
      </c>
      <c r="I126" s="1" t="s">
        <v>460</v>
      </c>
      <c r="J126" s="60" t="str" cm="1">
        <f t="array" aca="1" ref="J126" ca="1">_xlfn.XLOOKUP(Assignments[[#This Row],[Company ID]], INDIRECT("'"&amp;Assignments[[#This Row],[Coordinator]]&amp;"'!$B:$B"), INDIRECT("'"&amp;Assignments[[#This Row],[Coordinator]]&amp;"'!$J:$J"), "")</f>
        <v>The spend authorization received and verified; the W-9 and the COI still outstanding. Contact confirmed the remainder will be submitted by Thursday. Following up then.</v>
      </c>
      <c r="K126" s="12" t="str" cm="1">
        <f t="array" aca="1" ref="K126" ca="1">_xlfn.XLOOKUP(Assignments[[#This Row],[Company ID]], INDIRECT("'"&amp;Assignments[[#This Row],[Coordinator]]&amp;"'!$B:$B"), INDIRECT("'"&amp;Assignments[[#This Row],[Coordinator]]&amp;"'!$K:$K"), "")</f>
        <v>Received</v>
      </c>
      <c r="L126" s="12" t="str" cm="1">
        <f t="array" aca="1" ref="L126" ca="1">_xlfn.XLOOKUP(Assignments[[#This Row],[Company ID]], INDIRECT("'"&amp;Assignments[[#This Row],[Coordinator]]&amp;"'!$B:$B"), INDIRECT("'"&amp;Assignments[[#This Row],[Coordinator]]&amp;"'!$L:$L"), "")</f>
        <v>RECEIVED</v>
      </c>
    </row>
    <row r="127" spans="1:12" ht="30" customHeight="1" x14ac:dyDescent="0.25">
      <c r="A127" t="s">
        <v>449</v>
      </c>
      <c r="B127" s="2">
        <v>351589</v>
      </c>
      <c r="C127" t="s">
        <v>461</v>
      </c>
      <c r="D127" s="1" t="s">
        <v>118</v>
      </c>
      <c r="E127" t="b">
        <v>1</v>
      </c>
      <c r="F127" s="5">
        <v>495000</v>
      </c>
      <c r="G127" t="s">
        <v>462</v>
      </c>
      <c r="H127" t="s">
        <v>463</v>
      </c>
      <c r="I127" s="1" t="s">
        <v>464</v>
      </c>
      <c r="J127" s="60" t="str" cm="1">
        <f t="array" aca="1" ref="J127" ca="1">_xlfn.XLOOKUP(Assignments[[#This Row],[Company ID]], INDIRECT("'"&amp;Assignments[[#This Row],[Coordinator]]&amp;"'!$B:$B"), INDIRECT("'"&amp;Assignments[[#This Row],[Coordinator]]&amp;"'!$J:$J"), "")</f>
        <v>Received and accepted the Spend authorization, closing out the packet. No exceptions in compliance review. Vendor status set to active.</v>
      </c>
      <c r="K127" s="12" t="str" cm="1">
        <f t="array" aca="1" ref="K127" ca="1">_xlfn.XLOOKUP(Assignments[[#This Row],[Company ID]], INDIRECT("'"&amp;Assignments[[#This Row],[Coordinator]]&amp;"'!$B:$B"), INDIRECT("'"&amp;Assignments[[#This Row],[Coordinator]]&amp;"'!$K:$K"), "")</f>
        <v>Completion</v>
      </c>
      <c r="L127" s="12" t="b" cm="1">
        <f t="array" aca="1" ref="L127" ca="1">_xlfn.XLOOKUP(Assignments[[#This Row],[Company ID]], INDIRECT("'"&amp;Assignments[[#This Row],[Coordinator]]&amp;"'!$B:$B"), INDIRECT("'"&amp;Assignments[[#This Row],[Coordinator]]&amp;"'!$L:$L"), "")</f>
        <v>1</v>
      </c>
    </row>
    <row r="128" spans="1:12" ht="30" customHeight="1" x14ac:dyDescent="0.25">
      <c r="A128" t="s">
        <v>449</v>
      </c>
      <c r="B128" s="2">
        <v>226687</v>
      </c>
      <c r="C128" t="s">
        <v>465</v>
      </c>
      <c r="D128" s="1" t="s">
        <v>118</v>
      </c>
      <c r="E128" t="b">
        <v>1</v>
      </c>
      <c r="F128" s="5">
        <v>315300</v>
      </c>
      <c r="G128" t="s">
        <v>466</v>
      </c>
      <c r="H128" t="s">
        <v>467</v>
      </c>
      <c r="I128" s="1" t="s">
        <v>468</v>
      </c>
      <c r="J128" s="60" t="str" cm="1">
        <f t="array" aca="1" ref="J128" ca="1">_xlfn.XLOOKUP(Assignments[[#This Row],[Company ID]], INDIRECT("'"&amp;Assignments[[#This Row],[Coordinator]]&amp;"'!$B:$B"), INDIRECT("'"&amp;Assignments[[#This Row],[Coordinator]]&amp;"'!$J:$J"), "")</f>
        <v>Full document set received and reconciled against the master vendor record; the COI needed a quick correction, now resolved. No further discrepancies found. Onboarding officially complete.</v>
      </c>
      <c r="K128" s="12" t="str" cm="1">
        <f t="array" aca="1" ref="K128" ca="1">_xlfn.XLOOKUP(Assignments[[#This Row],[Company ID]], INDIRECT("'"&amp;Assignments[[#This Row],[Coordinator]]&amp;"'!$B:$B"), INDIRECT("'"&amp;Assignments[[#This Row],[Coordinator]]&amp;"'!$K:$K"), "")</f>
        <v>Completion</v>
      </c>
      <c r="L128" s="12" t="b" cm="1">
        <f t="array" aca="1" ref="L128" ca="1">_xlfn.XLOOKUP(Assignments[[#This Row],[Company ID]], INDIRECT("'"&amp;Assignments[[#This Row],[Coordinator]]&amp;"'!$B:$B"), INDIRECT("'"&amp;Assignments[[#This Row],[Coordinator]]&amp;"'!$L:$L"), "")</f>
        <v>1</v>
      </c>
    </row>
    <row r="129" spans="1:12" ht="30" customHeight="1" x14ac:dyDescent="0.25">
      <c r="A129" t="s">
        <v>449</v>
      </c>
      <c r="B129" s="2">
        <v>583469</v>
      </c>
      <c r="C129" t="s">
        <v>469</v>
      </c>
      <c r="D129" s="1" t="s">
        <v>143</v>
      </c>
      <c r="E129" t="b">
        <v>1</v>
      </c>
      <c r="F129" s="5">
        <v>90000</v>
      </c>
      <c r="G129" t="s">
        <v>470</v>
      </c>
      <c r="H129" t="s">
        <v>471</v>
      </c>
      <c r="I129" s="1" t="s">
        <v>472</v>
      </c>
      <c r="J129" s="60" t="str" cm="1">
        <f t="array" aca="1" ref="J129" ca="1">_xlfn.XLOOKUP(Assignments[[#This Row],[Company ID]], INDIRECT("'"&amp;Assignments[[#This Row],[Coordinator]]&amp;"'!$B:$B"), INDIRECT("'"&amp;Assignments[[#This Row],[Coordinator]]&amp;"'!$J:$J"), "")</f>
        <v>Submission of the COI stalled because of a pending budget approval on the vendor's end. Contact remains responsive despite the holdup. Re-checking Tuesday.</v>
      </c>
      <c r="K129" s="12" t="str" cm="1">
        <f t="array" aca="1" ref="K129" ca="1">_xlfn.XLOOKUP(Assignments[[#This Row],[Company ID]], INDIRECT("'"&amp;Assignments[[#This Row],[Coordinator]]&amp;"'!$B:$B"), INDIRECT("'"&amp;Assignments[[#This Row],[Coordinator]]&amp;"'!$K:$K"), "")</f>
        <v>Delayed</v>
      </c>
      <c r="L129" s="12" t="b" cm="1">
        <f t="array" aca="1" ref="L129" ca="1">_xlfn.XLOOKUP(Assignments[[#This Row],[Company ID]], INDIRECT("'"&amp;Assignments[[#This Row],[Coordinator]]&amp;"'!$B:$B"), INDIRECT("'"&amp;Assignments[[#This Row],[Coordinator]]&amp;"'!$L:$L"), "")</f>
        <v>0</v>
      </c>
    </row>
    <row r="130" spans="1:12" ht="30" customHeight="1" x14ac:dyDescent="0.25">
      <c r="A130" t="s">
        <v>449</v>
      </c>
      <c r="B130" s="2">
        <v>905427</v>
      </c>
      <c r="C130" t="s">
        <v>473</v>
      </c>
      <c r="D130" s="1" t="s">
        <v>160</v>
      </c>
      <c r="E130" t="b">
        <v>1</v>
      </c>
      <c r="F130" s="5">
        <v>204500</v>
      </c>
      <c r="G130" t="s">
        <v>474</v>
      </c>
      <c r="H130" t="s">
        <v>475</v>
      </c>
      <c r="I130" s="1" t="s">
        <v>476</v>
      </c>
      <c r="J130" s="60" t="str" cm="1">
        <f t="array" aca="1" ref="J130" ca="1">_xlfn.XLOOKUP(Assignments[[#This Row],[Company ID]], INDIRECT("'"&amp;Assignments[[#This Row],[Coordinator]]&amp;"'!$B:$B"), INDIRECT("'"&amp;Assignments[[#This Row],[Coordinator]]&amp;"'!$J:$J"), "")</f>
        <v>First batch received: the COI and the W-9 logged and approved. Still awaiting the Spend authorization. Contact committed to finishing by Wednesday.</v>
      </c>
      <c r="K130" s="12" t="str" cm="1">
        <f t="array" aca="1" ref="K130" ca="1">_xlfn.XLOOKUP(Assignments[[#This Row],[Company ID]], INDIRECT("'"&amp;Assignments[[#This Row],[Coordinator]]&amp;"'!$B:$B"), INDIRECT("'"&amp;Assignments[[#This Row],[Coordinator]]&amp;"'!$K:$K"), "")</f>
        <v>Received</v>
      </c>
      <c r="L130" s="12" t="str" cm="1">
        <f t="array" aca="1" ref="L130" ca="1">_xlfn.XLOOKUP(Assignments[[#This Row],[Company ID]], INDIRECT("'"&amp;Assignments[[#This Row],[Coordinator]]&amp;"'!$B:$B"), INDIRECT("'"&amp;Assignments[[#This Row],[Coordinator]]&amp;"'!$L:$L"), "")</f>
        <v>RECEIVED</v>
      </c>
    </row>
    <row r="131" spans="1:12" ht="30" customHeight="1" x14ac:dyDescent="0.25">
      <c r="A131" t="s">
        <v>449</v>
      </c>
      <c r="B131" s="2">
        <v>285558</v>
      </c>
      <c r="C131" t="s">
        <v>477</v>
      </c>
      <c r="D131" s="1" t="s">
        <v>185</v>
      </c>
      <c r="E131" t="b">
        <v>1</v>
      </c>
      <c r="F131" s="5">
        <v>272500</v>
      </c>
      <c r="G131" t="s">
        <v>339</v>
      </c>
      <c r="H131" t="s">
        <v>478</v>
      </c>
      <c r="I131" s="1" t="s">
        <v>479</v>
      </c>
      <c r="J131" s="60" t="str" cm="1">
        <f t="array" aca="1" ref="J131" ca="1">_xlfn.XLOOKUP(Assignments[[#This Row],[Company ID]], INDIRECT("'"&amp;Assignments[[#This Row],[Coordinator]]&amp;"'!$B:$B"), INDIRECT("'"&amp;Assignments[[#This Row],[Coordinator]]&amp;"'!$J:$J"), "")</f>
        <v>Third outreach attempt with no response from the contact. Voicemail left and a follow-up email sent requesting the outstanding documents. Escalating to a backup contact if no reply by Friday.</v>
      </c>
      <c r="K131" s="12" t="str" cm="1">
        <f t="array" aca="1" ref="K131" ca="1">_xlfn.XLOOKUP(Assignments[[#This Row],[Company ID]], INDIRECT("'"&amp;Assignments[[#This Row],[Coordinator]]&amp;"'!$B:$B"), INDIRECT("'"&amp;Assignments[[#This Row],[Coordinator]]&amp;"'!$K:$K"), "")</f>
        <v>Poor Communication</v>
      </c>
      <c r="L131" s="12" t="b" cm="1">
        <f t="array" aca="1" ref="L131" ca="1">_xlfn.XLOOKUP(Assignments[[#This Row],[Company ID]], INDIRECT("'"&amp;Assignments[[#This Row],[Coordinator]]&amp;"'!$B:$B"), INDIRECT("'"&amp;Assignments[[#This Row],[Coordinator]]&amp;"'!$L:$L"), "")</f>
        <v>0</v>
      </c>
    </row>
    <row r="132" spans="1:12" ht="30" customHeight="1" x14ac:dyDescent="0.25">
      <c r="A132" t="s">
        <v>449</v>
      </c>
      <c r="B132" s="2">
        <v>691396</v>
      </c>
      <c r="C132" t="s">
        <v>480</v>
      </c>
      <c r="D132" s="1" t="s">
        <v>206</v>
      </c>
      <c r="E132" t="b">
        <v>0</v>
      </c>
      <c r="F132" s="5">
        <v>115700</v>
      </c>
      <c r="G132" t="s">
        <v>481</v>
      </c>
      <c r="H132" t="s">
        <v>482</v>
      </c>
      <c r="I132" s="1" t="s">
        <v>483</v>
      </c>
      <c r="J132" s="60" t="str" cm="1">
        <f t="array" aca="1" ref="J132" ca="1">_xlfn.XLOOKUP(Assignments[[#This Row],[Company ID]], INDIRECT("'"&amp;Assignments[[#This Row],[Coordinator]]&amp;"'!$B:$B"), INDIRECT("'"&amp;Assignments[[#This Row],[Coordinator]]&amp;"'!$J:$J"), "")</f>
        <v>Full document set received and reconciled against the master vendor record; the W-9 needed a quick correction, now resolved. No further discrepancies found. Onboarding officially complete.</v>
      </c>
      <c r="K132" s="12" t="str" cm="1">
        <f t="array" aca="1" ref="K132" ca="1">_xlfn.XLOOKUP(Assignments[[#This Row],[Company ID]], INDIRECT("'"&amp;Assignments[[#This Row],[Coordinator]]&amp;"'!$B:$B"), INDIRECT("'"&amp;Assignments[[#This Row],[Coordinator]]&amp;"'!$K:$K"), "")</f>
        <v>Completion</v>
      </c>
      <c r="L132" s="12" t="b" cm="1">
        <f t="array" aca="1" ref="L132" ca="1">_xlfn.XLOOKUP(Assignments[[#This Row],[Company ID]], INDIRECT("'"&amp;Assignments[[#This Row],[Coordinator]]&amp;"'!$B:$B"), INDIRECT("'"&amp;Assignments[[#This Row],[Coordinator]]&amp;"'!$L:$L"), "")</f>
        <v>1</v>
      </c>
    </row>
    <row r="133" spans="1:12" ht="30" customHeight="1" x14ac:dyDescent="0.25">
      <c r="A133" t="s">
        <v>449</v>
      </c>
      <c r="B133" s="2">
        <v>726286</v>
      </c>
      <c r="C133" t="s">
        <v>484</v>
      </c>
      <c r="D133" s="1" t="s">
        <v>206</v>
      </c>
      <c r="E133" t="b">
        <v>0</v>
      </c>
      <c r="F133" s="5">
        <v>21600</v>
      </c>
      <c r="G133" t="s">
        <v>485</v>
      </c>
      <c r="H133" t="s">
        <v>486</v>
      </c>
      <c r="I133" s="1" t="s">
        <v>487</v>
      </c>
      <c r="J133" s="60" t="str" cm="1">
        <f t="array" aca="1" ref="J133" ca="1">_xlfn.XLOOKUP(Assignments[[#This Row],[Company ID]], INDIRECT("'"&amp;Assignments[[#This Row],[Coordinator]]&amp;"'!$B:$B"), INDIRECT("'"&amp;Assignments[[#This Row],[Coordinator]]&amp;"'!$J:$J"), "")</f>
        <v>Confirmed all required paperwork on file once the COI came through the portal. Insurance limits and tax details verified. Onboarding closed out.</v>
      </c>
      <c r="K133" s="12" t="str" cm="1">
        <f t="array" aca="1" ref="K133" ca="1">_xlfn.XLOOKUP(Assignments[[#This Row],[Company ID]], INDIRECT("'"&amp;Assignments[[#This Row],[Coordinator]]&amp;"'!$B:$B"), INDIRECT("'"&amp;Assignments[[#This Row],[Coordinator]]&amp;"'!$K:$K"), "")</f>
        <v>Completion</v>
      </c>
      <c r="L133" s="12" t="b" cm="1">
        <f t="array" aca="1" ref="L133" ca="1">_xlfn.XLOOKUP(Assignments[[#This Row],[Company ID]], INDIRECT("'"&amp;Assignments[[#This Row],[Coordinator]]&amp;"'!$B:$B"), INDIRECT("'"&amp;Assignments[[#This Row],[Coordinator]]&amp;"'!$L:$L"), "")</f>
        <v>1</v>
      </c>
    </row>
    <row r="134" spans="1:12" ht="30" customHeight="1" x14ac:dyDescent="0.25">
      <c r="A134" t="s">
        <v>449</v>
      </c>
      <c r="B134" s="2">
        <v>255751</v>
      </c>
      <c r="C134" t="s">
        <v>488</v>
      </c>
      <c r="D134" s="1" t="s">
        <v>206</v>
      </c>
      <c r="E134" t="b">
        <v>0</v>
      </c>
      <c r="F134" s="5">
        <v>132100</v>
      </c>
      <c r="G134" t="s">
        <v>489</v>
      </c>
      <c r="H134" t="s">
        <v>421</v>
      </c>
      <c r="I134" s="1" t="s">
        <v>490</v>
      </c>
      <c r="J134" s="60" t="str" cm="1">
        <f t="array" aca="1" ref="J134" ca="1">_xlfn.XLOOKUP(Assignments[[#This Row],[Company ID]], INDIRECT("'"&amp;Assignments[[#This Row],[Coordinator]]&amp;"'!$B:$B"), INDIRECT("'"&amp;Assignments[[#This Row],[Coordinator]]&amp;"'!$J:$J"), "")</f>
        <v>Packet complete after the COI was uploaded, closing the final open item. Documents were cross-checked against contract requirements and approved. Vendor moved to active status.</v>
      </c>
      <c r="K134" s="12" t="str" cm="1">
        <f t="array" aca="1" ref="K134" ca="1">_xlfn.XLOOKUP(Assignments[[#This Row],[Company ID]], INDIRECT("'"&amp;Assignments[[#This Row],[Coordinator]]&amp;"'!$B:$B"), INDIRECT("'"&amp;Assignments[[#This Row],[Coordinator]]&amp;"'!$K:$K"), "")</f>
        <v>Completion</v>
      </c>
      <c r="L134" s="12" t="b" cm="1">
        <f t="array" aca="1" ref="L134" ca="1">_xlfn.XLOOKUP(Assignments[[#This Row],[Company ID]], INDIRECT("'"&amp;Assignments[[#This Row],[Coordinator]]&amp;"'!$B:$B"), INDIRECT("'"&amp;Assignments[[#This Row],[Coordinator]]&amp;"'!$L:$L"), "")</f>
        <v>1</v>
      </c>
    </row>
    <row r="135" spans="1:12" ht="30" customHeight="1" x14ac:dyDescent="0.25">
      <c r="A135" t="s">
        <v>449</v>
      </c>
      <c r="B135" s="2">
        <v>572006</v>
      </c>
      <c r="C135" t="s">
        <v>491</v>
      </c>
      <c r="D135" s="1" t="s">
        <v>206</v>
      </c>
      <c r="E135" t="b">
        <v>0</v>
      </c>
      <c r="F135" s="5">
        <v>105500</v>
      </c>
      <c r="G135" t="s">
        <v>492</v>
      </c>
      <c r="H135" t="s">
        <v>493</v>
      </c>
      <c r="I135" s="1" t="s">
        <v>494</v>
      </c>
      <c r="J135" s="60" t="str" cm="1">
        <f t="array" aca="1" ref="J135" ca="1">_xlfn.XLOOKUP(Assignments[[#This Row],[Company ID]], INDIRECT("'"&amp;Assignments[[#This Row],[Coordinator]]&amp;"'!$B:$B"), INDIRECT("'"&amp;Assignments[[#This Row],[Coordinator]]&amp;"'!$J:$J"), "")</f>
        <v>Everything is in — the W-9 arrived this Friday and matched our records. Contact was proactive throughout. Onboarding complete.</v>
      </c>
      <c r="K135" s="12" t="str" cm="1">
        <f t="array" aca="1" ref="K135" ca="1">_xlfn.XLOOKUP(Assignments[[#This Row],[Company ID]], INDIRECT("'"&amp;Assignments[[#This Row],[Coordinator]]&amp;"'!$B:$B"), INDIRECT("'"&amp;Assignments[[#This Row],[Coordinator]]&amp;"'!$K:$K"), "")</f>
        <v>Completion</v>
      </c>
      <c r="L135" s="12" t="b" cm="1">
        <f t="array" aca="1" ref="L135" ca="1">_xlfn.XLOOKUP(Assignments[[#This Row],[Company ID]], INDIRECT("'"&amp;Assignments[[#This Row],[Coordinator]]&amp;"'!$B:$B"), INDIRECT("'"&amp;Assignments[[#This Row],[Coordinator]]&amp;"'!$L:$L"), "")</f>
        <v>1</v>
      </c>
    </row>
    <row r="136" spans="1:12" ht="30" customHeight="1" x14ac:dyDescent="0.25">
      <c r="A136" t="s">
        <v>449</v>
      </c>
      <c r="B136" s="2">
        <v>456929</v>
      </c>
      <c r="C136" t="s">
        <v>495</v>
      </c>
      <c r="D136" s="1" t="s">
        <v>211</v>
      </c>
      <c r="E136" t="b">
        <v>0</v>
      </c>
      <c r="F136" s="5">
        <v>9700</v>
      </c>
      <c r="G136" t="s">
        <v>496</v>
      </c>
      <c r="H136" t="s">
        <v>497</v>
      </c>
      <c r="I136" s="1" t="s">
        <v>498</v>
      </c>
      <c r="J136" s="60" t="str" cm="1">
        <f t="array" aca="1" ref="J136" ca="1">_xlfn.XLOOKUP(Assignments[[#This Row],[Company ID]], INDIRECT("'"&amp;Assignments[[#This Row],[Coordinator]]&amp;"'!$B:$B"), INDIRECT("'"&amp;Assignments[[#This Row],[Coordinator]]&amp;"'!$J:$J"), "")</f>
        <v>Packet complete after the COI was uploaded, closing the final open item. Documents were cross-checked against contract requirements and approved. Vendor moved to active status.</v>
      </c>
      <c r="K136" s="12" t="str" cm="1">
        <f t="array" aca="1" ref="K136" ca="1">_xlfn.XLOOKUP(Assignments[[#This Row],[Company ID]], INDIRECT("'"&amp;Assignments[[#This Row],[Coordinator]]&amp;"'!$B:$B"), INDIRECT("'"&amp;Assignments[[#This Row],[Coordinator]]&amp;"'!$K:$K"), "")</f>
        <v>Completion</v>
      </c>
      <c r="L136" s="12" t="b" cm="1">
        <f t="array" aca="1" ref="L136" ca="1">_xlfn.XLOOKUP(Assignments[[#This Row],[Company ID]], INDIRECT("'"&amp;Assignments[[#This Row],[Coordinator]]&amp;"'!$B:$B"), INDIRECT("'"&amp;Assignments[[#This Row],[Coordinator]]&amp;"'!$L:$L"), "")</f>
        <v>1</v>
      </c>
    </row>
    <row r="137" spans="1:12" ht="30" customHeight="1" x14ac:dyDescent="0.25">
      <c r="A137" t="s">
        <v>449</v>
      </c>
      <c r="B137" s="2">
        <v>776116</v>
      </c>
      <c r="C137" t="s">
        <v>499</v>
      </c>
      <c r="D137" s="1" t="s">
        <v>211</v>
      </c>
      <c r="E137" t="b">
        <v>0</v>
      </c>
      <c r="F137" s="5">
        <v>35900</v>
      </c>
      <c r="G137" t="s">
        <v>500</v>
      </c>
      <c r="H137" t="s">
        <v>501</v>
      </c>
      <c r="I137" s="1" t="s">
        <v>502</v>
      </c>
      <c r="J137" s="60" t="str" cm="1">
        <f t="array" aca="1" ref="J137" ca="1">_xlfn.XLOOKUP(Assignments[[#This Row],[Company ID]], INDIRECT("'"&amp;Assignments[[#This Row],[Coordinator]]&amp;"'!$B:$B"), INDIRECT("'"&amp;Assignments[[#This Row],[Coordinator]]&amp;"'!$J:$J"), "")</f>
        <v>Partial packet in — the COI on file and within requirements. Awaiting the Spend authorization and the W-9 from the vendor's team. Reminder set for next week.</v>
      </c>
      <c r="K137" s="12" t="str" cm="1">
        <f t="array" aca="1" ref="K137" ca="1">_xlfn.XLOOKUP(Assignments[[#This Row],[Company ID]], INDIRECT("'"&amp;Assignments[[#This Row],[Coordinator]]&amp;"'!$B:$B"), INDIRECT("'"&amp;Assignments[[#This Row],[Coordinator]]&amp;"'!$K:$K"), "")</f>
        <v>Received</v>
      </c>
      <c r="L137" s="12" t="str" cm="1">
        <f t="array" aca="1" ref="L137" ca="1">_xlfn.XLOOKUP(Assignments[[#This Row],[Company ID]], INDIRECT("'"&amp;Assignments[[#This Row],[Coordinator]]&amp;"'!$B:$B"), INDIRECT("'"&amp;Assignments[[#This Row],[Coordinator]]&amp;"'!$L:$L"), "")</f>
        <v>RECEIVED</v>
      </c>
    </row>
    <row r="138" spans="1:12" ht="30" customHeight="1" x14ac:dyDescent="0.25">
      <c r="A138" t="s">
        <v>449</v>
      </c>
      <c r="B138" s="2">
        <v>703472</v>
      </c>
      <c r="C138" t="s">
        <v>503</v>
      </c>
      <c r="D138" s="1" t="s">
        <v>211</v>
      </c>
      <c r="E138" t="b">
        <v>0</v>
      </c>
      <c r="F138" s="5">
        <v>6800</v>
      </c>
      <c r="G138" t="s">
        <v>504</v>
      </c>
      <c r="H138" t="s">
        <v>505</v>
      </c>
      <c r="I138" s="1" t="s">
        <v>506</v>
      </c>
      <c r="J138" s="60" t="str" cm="1">
        <f t="array" aca="1" ref="J138" ca="1">_xlfn.XLOOKUP(Assignments[[#This Row],[Company ID]], INDIRECT("'"&amp;Assignments[[#This Row],[Coordinator]]&amp;"'!$B:$B"), INDIRECT("'"&amp;Assignments[[#This Row],[Coordinator]]&amp;"'!$J:$J"), "")</f>
        <v>Good progress — the COI and the W-9 confirmed and filed. The spend authorization sits in the vendor's internal approval queue, expected by Tuesday. No concerns yet.</v>
      </c>
      <c r="K138" s="12" t="str" cm="1">
        <f t="array" aca="1" ref="K138" ca="1">_xlfn.XLOOKUP(Assignments[[#This Row],[Company ID]], INDIRECT("'"&amp;Assignments[[#This Row],[Coordinator]]&amp;"'!$B:$B"), INDIRECT("'"&amp;Assignments[[#This Row],[Coordinator]]&amp;"'!$K:$K"), "")</f>
        <v>Received</v>
      </c>
      <c r="L138" s="12" t="str" cm="1">
        <f t="array" aca="1" ref="L138" ca="1">_xlfn.XLOOKUP(Assignments[[#This Row],[Company ID]], INDIRECT("'"&amp;Assignments[[#This Row],[Coordinator]]&amp;"'!$B:$B"), INDIRECT("'"&amp;Assignments[[#This Row],[Coordinator]]&amp;"'!$L:$L"), "")</f>
        <v>RECEIVED</v>
      </c>
    </row>
    <row r="139" spans="1:12" ht="30" customHeight="1" x14ac:dyDescent="0.25">
      <c r="A139" t="s">
        <v>449</v>
      </c>
      <c r="B139" s="2">
        <v>241415</v>
      </c>
      <c r="C139" t="s">
        <v>507</v>
      </c>
      <c r="D139" s="1" t="s">
        <v>211</v>
      </c>
      <c r="E139" t="b">
        <v>0</v>
      </c>
      <c r="F139" s="5">
        <v>90000</v>
      </c>
      <c r="G139" t="s">
        <v>508</v>
      </c>
      <c r="H139" t="s">
        <v>509</v>
      </c>
      <c r="I139" s="1" t="s">
        <v>510</v>
      </c>
      <c r="J139" s="60" t="str" cm="1">
        <f t="array" aca="1" ref="J139" ca="1">_xlfn.XLOOKUP(Assignments[[#This Row],[Company ID]], INDIRECT("'"&amp;Assignments[[#This Row],[Coordinator]]&amp;"'!$B:$B"), INDIRECT("'"&amp;Assignments[[#This Row],[Coordinator]]&amp;"'!$J:$J"), "")</f>
        <v>First batch received: the Spend authorization logged and approved. Still awaiting the W-9 and the COI. Contact committed to finishing by Wednesday.</v>
      </c>
      <c r="K139" s="12" t="str" cm="1">
        <f t="array" aca="1" ref="K139" ca="1">_xlfn.XLOOKUP(Assignments[[#This Row],[Company ID]], INDIRECT("'"&amp;Assignments[[#This Row],[Coordinator]]&amp;"'!$B:$B"), INDIRECT("'"&amp;Assignments[[#This Row],[Coordinator]]&amp;"'!$K:$K"), "")</f>
        <v>Received</v>
      </c>
      <c r="L139" s="12" t="str" cm="1">
        <f t="array" aca="1" ref="L139" ca="1">_xlfn.XLOOKUP(Assignments[[#This Row],[Company ID]], INDIRECT("'"&amp;Assignments[[#This Row],[Coordinator]]&amp;"'!$B:$B"), INDIRECT("'"&amp;Assignments[[#This Row],[Coordinator]]&amp;"'!$L:$L"), "")</f>
        <v>RECEIVED</v>
      </c>
    </row>
    <row r="140" spans="1:12" ht="30" customHeight="1" x14ac:dyDescent="0.25">
      <c r="A140" t="s">
        <v>449</v>
      </c>
      <c r="B140" s="2">
        <v>420868</v>
      </c>
      <c r="C140" t="s">
        <v>511</v>
      </c>
      <c r="D140" s="1" t="s">
        <v>211</v>
      </c>
      <c r="E140" t="b">
        <v>0</v>
      </c>
      <c r="F140" s="5">
        <v>49500</v>
      </c>
      <c r="G140" t="s">
        <v>512</v>
      </c>
      <c r="H140" t="s">
        <v>513</v>
      </c>
      <c r="I140" s="1" t="s">
        <v>514</v>
      </c>
      <c r="J140" s="60" t="str" cm="1">
        <f t="array" aca="1" ref="J140" ca="1">_xlfn.XLOOKUP(Assignments[[#This Row],[Company ID]], INDIRECT("'"&amp;Assignments[[#This Row],[Coordinator]]&amp;"'!$B:$B"), INDIRECT("'"&amp;Assignments[[#This Row],[Coordinator]]&amp;"'!$J:$J"), "")</f>
        <v>The w-9 received and verified; the Spend authorization and the COI still outstanding. Contact confirmed the remainder will be submitted by Monday. Following up then.</v>
      </c>
      <c r="K140" s="12" t="str" cm="1">
        <f t="array" aca="1" ref="K140" ca="1">_xlfn.XLOOKUP(Assignments[[#This Row],[Company ID]], INDIRECT("'"&amp;Assignments[[#This Row],[Coordinator]]&amp;"'!$B:$B"), INDIRECT("'"&amp;Assignments[[#This Row],[Coordinator]]&amp;"'!$K:$K"), "")</f>
        <v>Received</v>
      </c>
      <c r="L140" s="12" t="str" cm="1">
        <f t="array" aca="1" ref="L140" ca="1">_xlfn.XLOOKUP(Assignments[[#This Row],[Company ID]], INDIRECT("'"&amp;Assignments[[#This Row],[Coordinator]]&amp;"'!$B:$B"), INDIRECT("'"&amp;Assignments[[#This Row],[Coordinator]]&amp;"'!$L:$L"), "")</f>
        <v>RECEIVED</v>
      </c>
    </row>
    <row r="141" spans="1:12" ht="30" customHeight="1" x14ac:dyDescent="0.25">
      <c r="A141" t="s">
        <v>449</v>
      </c>
      <c r="B141" s="2">
        <v>652863</v>
      </c>
      <c r="C141" t="s">
        <v>515</v>
      </c>
      <c r="D141" s="1" t="s">
        <v>211</v>
      </c>
      <c r="E141" t="b">
        <v>0</v>
      </c>
      <c r="F141" s="5">
        <v>6300</v>
      </c>
      <c r="G141" t="s">
        <v>516</v>
      </c>
      <c r="H141" t="s">
        <v>517</v>
      </c>
      <c r="I141" s="1" t="s">
        <v>518</v>
      </c>
      <c r="J141" s="60" t="str" cm="1">
        <f t="array" aca="1" ref="J141" ca="1">_xlfn.XLOOKUP(Assignments[[#This Row],[Company ID]], INDIRECT("'"&amp;Assignments[[#This Row],[Coordinator]]&amp;"'!$B:$B"), INDIRECT("'"&amp;Assignments[[#This Row],[Coordinator]]&amp;"'!$J:$J"), "")</f>
        <v>Documents delayed — a corporate reorganization reassigning document ownership. Contact confirmed the item is in progress. Monitoring and following up Friday.</v>
      </c>
      <c r="K141" s="12" t="str" cm="1">
        <f t="array" aca="1" ref="K141" ca="1">_xlfn.XLOOKUP(Assignments[[#This Row],[Company ID]], INDIRECT("'"&amp;Assignments[[#This Row],[Coordinator]]&amp;"'!$B:$B"), INDIRECT("'"&amp;Assignments[[#This Row],[Coordinator]]&amp;"'!$K:$K"), "")</f>
        <v>Delayed</v>
      </c>
      <c r="L141" s="12" t="b" cm="1">
        <f t="array" aca="1" ref="L141" ca="1">_xlfn.XLOOKUP(Assignments[[#This Row],[Company ID]], INDIRECT("'"&amp;Assignments[[#This Row],[Coordinator]]&amp;"'!$B:$B"), INDIRECT("'"&amp;Assignments[[#This Row],[Coordinator]]&amp;"'!$L:$L"), "")</f>
        <v>0</v>
      </c>
    </row>
    <row r="142" spans="1:12" ht="30" customHeight="1" x14ac:dyDescent="0.25">
      <c r="A142" t="s">
        <v>449</v>
      </c>
      <c r="B142" s="2">
        <v>941533</v>
      </c>
      <c r="C142" t="s">
        <v>519</v>
      </c>
      <c r="D142" s="1" t="s">
        <v>520</v>
      </c>
      <c r="E142" t="b">
        <v>0</v>
      </c>
      <c r="F142" s="5">
        <v>72900</v>
      </c>
      <c r="G142" t="s">
        <v>521</v>
      </c>
      <c r="H142" t="s">
        <v>522</v>
      </c>
      <c r="I142" s="1" t="s">
        <v>523</v>
      </c>
      <c r="J142" s="60" t="str" cm="1">
        <f t="array" aca="1" ref="J142" ca="1">_xlfn.XLOOKUP(Assignments[[#This Row],[Company ID]], INDIRECT("'"&amp;Assignments[[#This Row],[Coordinator]]&amp;"'!$B:$B"), INDIRECT("'"&amp;Assignments[[#This Row],[Coordinator]]&amp;"'!$J:$J"), "")</f>
        <v>Received and accepted the Spend authorization, closing out the packet. No exceptions in compliance review. Vendor status set to active.</v>
      </c>
      <c r="K142" s="12" t="str" cm="1">
        <f t="array" aca="1" ref="K142" ca="1">_xlfn.XLOOKUP(Assignments[[#This Row],[Company ID]], INDIRECT("'"&amp;Assignments[[#This Row],[Coordinator]]&amp;"'!$B:$B"), INDIRECT("'"&amp;Assignments[[#This Row],[Coordinator]]&amp;"'!$K:$K"), "")</f>
        <v>Completion</v>
      </c>
      <c r="L142" s="12" t="b" cm="1">
        <f t="array" aca="1" ref="L142" ca="1">_xlfn.XLOOKUP(Assignments[[#This Row],[Company ID]], INDIRECT("'"&amp;Assignments[[#This Row],[Coordinator]]&amp;"'!$B:$B"), INDIRECT("'"&amp;Assignments[[#This Row],[Coordinator]]&amp;"'!$L:$L"), "")</f>
        <v>1</v>
      </c>
    </row>
    <row r="143" spans="1:12" ht="30" customHeight="1" x14ac:dyDescent="0.25">
      <c r="A143" t="s">
        <v>449</v>
      </c>
      <c r="B143" s="2">
        <v>918149</v>
      </c>
      <c r="C143" t="s">
        <v>524</v>
      </c>
      <c r="D143" s="1" t="s">
        <v>520</v>
      </c>
      <c r="E143" t="b">
        <v>0</v>
      </c>
      <c r="F143" s="5">
        <v>7000</v>
      </c>
      <c r="G143" t="s">
        <v>525</v>
      </c>
      <c r="H143" t="s">
        <v>526</v>
      </c>
      <c r="I143" s="1" t="s">
        <v>527</v>
      </c>
      <c r="J143" s="60" t="str" cm="1">
        <f t="array" aca="1" ref="J143" ca="1">_xlfn.XLOOKUP(Assignments[[#This Row],[Company ID]], INDIRECT("'"&amp;Assignments[[#This Row],[Coordinator]]&amp;"'!$B:$B"), INDIRECT("'"&amp;Assignments[[#This Row],[Coordinator]]&amp;"'!$J:$J"), "")</f>
        <v>Contact acknowledged the request but has since stopped responding. No documents in. Trying a different channel and noting for supervisor follow-up.</v>
      </c>
      <c r="K143" s="12" t="str" cm="1">
        <f t="array" aca="1" ref="K143" ca="1">_xlfn.XLOOKUP(Assignments[[#This Row],[Company ID]], INDIRECT("'"&amp;Assignments[[#This Row],[Coordinator]]&amp;"'!$B:$B"), INDIRECT("'"&amp;Assignments[[#This Row],[Coordinator]]&amp;"'!$K:$K"), "")</f>
        <v>Poor Communication</v>
      </c>
      <c r="L143" s="12" t="b" cm="1">
        <f t="array" aca="1" ref="L143" ca="1">_xlfn.XLOOKUP(Assignments[[#This Row],[Company ID]], INDIRECT("'"&amp;Assignments[[#This Row],[Coordinator]]&amp;"'!$B:$B"), INDIRECT("'"&amp;Assignments[[#This Row],[Coordinator]]&amp;"'!$L:$L"), "")</f>
        <v>0</v>
      </c>
    </row>
    <row r="144" spans="1:12" ht="30" customHeight="1" x14ac:dyDescent="0.25">
      <c r="A144" t="s">
        <v>449</v>
      </c>
      <c r="B144" s="2">
        <v>371404</v>
      </c>
      <c r="C144" t="s">
        <v>528</v>
      </c>
      <c r="D144" s="1" t="s">
        <v>419</v>
      </c>
      <c r="E144" t="b">
        <v>0</v>
      </c>
      <c r="F144" s="5">
        <v>82000</v>
      </c>
      <c r="G144" t="s">
        <v>529</v>
      </c>
      <c r="H144" t="s">
        <v>530</v>
      </c>
      <c r="I144" s="1" t="s">
        <v>531</v>
      </c>
      <c r="J144" s="60" t="str" cm="1">
        <f t="array" aca="1" ref="J144" ca="1">_xlfn.XLOOKUP(Assignments[[#This Row],[Company ID]], INDIRECT("'"&amp;Assignments[[#This Row],[Coordinator]]&amp;"'!$B:$B"), INDIRECT("'"&amp;Assignments[[#This Row],[Coordinator]]&amp;"'!$J:$J"), "")</f>
        <v>Confirmed all required paperwork on file once the W-9 came through the portal. Insurance limits and tax details verified. Onboarding closed out.</v>
      </c>
      <c r="K144" s="12" t="str" cm="1">
        <f t="array" aca="1" ref="K144" ca="1">_xlfn.XLOOKUP(Assignments[[#This Row],[Company ID]], INDIRECT("'"&amp;Assignments[[#This Row],[Coordinator]]&amp;"'!$B:$B"), INDIRECT("'"&amp;Assignments[[#This Row],[Coordinator]]&amp;"'!$K:$K"), "")</f>
        <v>Completion</v>
      </c>
      <c r="L144" s="12" t="b" cm="1">
        <f t="array" aca="1" ref="L144" ca="1">_xlfn.XLOOKUP(Assignments[[#This Row],[Company ID]], INDIRECT("'"&amp;Assignments[[#This Row],[Coordinator]]&amp;"'!$B:$B"), INDIRECT("'"&amp;Assignments[[#This Row],[Coordinator]]&amp;"'!$L:$L"), "")</f>
        <v>1</v>
      </c>
    </row>
    <row r="145" spans="1:12" ht="30" customHeight="1" x14ac:dyDescent="0.25">
      <c r="A145" t="s">
        <v>449</v>
      </c>
      <c r="B145" s="2">
        <v>488108</v>
      </c>
      <c r="C145" t="s">
        <v>532</v>
      </c>
      <c r="D145" s="1" t="s">
        <v>419</v>
      </c>
      <c r="E145" t="b">
        <v>0</v>
      </c>
      <c r="F145" s="5">
        <v>141900</v>
      </c>
      <c r="G145" t="s">
        <v>533</v>
      </c>
      <c r="H145" t="s">
        <v>534</v>
      </c>
      <c r="I145" s="1" t="s">
        <v>535</v>
      </c>
      <c r="J145" s="60" t="str" cm="1">
        <f t="array" aca="1" ref="J145" ca="1">_xlfn.XLOOKUP(Assignments[[#This Row],[Company ID]], INDIRECT("'"&amp;Assignments[[#This Row],[Coordinator]]&amp;"'!$B:$B"), INDIRECT("'"&amp;Assignments[[#This Row],[Coordinator]]&amp;"'!$J:$J"), "")</f>
        <v>The spend authorization is delayed due to the contact's finance lead is out on PTO. A short extension was granted and acknowledged. Will re-check status by next week.</v>
      </c>
      <c r="K145" s="12" t="str" cm="1">
        <f t="array" aca="1" ref="K145" ca="1">_xlfn.XLOOKUP(Assignments[[#This Row],[Company ID]], INDIRECT("'"&amp;Assignments[[#This Row],[Coordinator]]&amp;"'!$B:$B"), INDIRECT("'"&amp;Assignments[[#This Row],[Coordinator]]&amp;"'!$K:$K"), "")</f>
        <v>Delayed</v>
      </c>
      <c r="L145" s="12" t="b" cm="1">
        <f t="array" aca="1" ref="L145" ca="1">_xlfn.XLOOKUP(Assignments[[#This Row],[Company ID]], INDIRECT("'"&amp;Assignments[[#This Row],[Coordinator]]&amp;"'!$B:$B"), INDIRECT("'"&amp;Assignments[[#This Row],[Coordinator]]&amp;"'!$L:$L"), "")</f>
        <v>0</v>
      </c>
    </row>
    <row r="146" spans="1:12" ht="30" customHeight="1" x14ac:dyDescent="0.25">
      <c r="A146" t="s">
        <v>449</v>
      </c>
      <c r="B146" s="2">
        <v>729318</v>
      </c>
      <c r="C146" t="s">
        <v>536</v>
      </c>
      <c r="D146" s="1" t="s">
        <v>216</v>
      </c>
      <c r="E146" t="b">
        <v>0</v>
      </c>
      <c r="F146" s="5">
        <v>66100</v>
      </c>
      <c r="G146" t="s">
        <v>537</v>
      </c>
      <c r="H146" t="s">
        <v>538</v>
      </c>
      <c r="I146" s="1" t="s">
        <v>539</v>
      </c>
      <c r="J146" s="60" t="str" cm="1">
        <f t="array" aca="1" ref="J146" ca="1">_xlfn.XLOOKUP(Assignments[[#This Row],[Company ID]], INDIRECT("'"&amp;Assignments[[#This Row],[Coordinator]]&amp;"'!$B:$B"), INDIRECT("'"&amp;Assignments[[#This Row],[Coordinator]]&amp;"'!$J:$J"), "")</f>
        <v>First batch received: the COI and the W-9 logged and approved. Still awaiting the Spend authorization. Contact committed to finishing by Tuesday.</v>
      </c>
      <c r="K146" s="12" t="str" cm="1">
        <f t="array" aca="1" ref="K146" ca="1">_xlfn.XLOOKUP(Assignments[[#This Row],[Company ID]], INDIRECT("'"&amp;Assignments[[#This Row],[Coordinator]]&amp;"'!$B:$B"), INDIRECT("'"&amp;Assignments[[#This Row],[Coordinator]]&amp;"'!$K:$K"), "")</f>
        <v>Received</v>
      </c>
      <c r="L146" s="12" t="str" cm="1">
        <f t="array" aca="1" ref="L146" ca="1">_xlfn.XLOOKUP(Assignments[[#This Row],[Company ID]], INDIRECT("'"&amp;Assignments[[#This Row],[Coordinator]]&amp;"'!$B:$B"), INDIRECT("'"&amp;Assignments[[#This Row],[Coordinator]]&amp;"'!$L:$L"), "")</f>
        <v>RECEIVED</v>
      </c>
    </row>
    <row r="147" spans="1:12" ht="30" customHeight="1" x14ac:dyDescent="0.25">
      <c r="A147" t="s">
        <v>449</v>
      </c>
      <c r="B147" s="2">
        <v>903027</v>
      </c>
      <c r="C147" t="s">
        <v>540</v>
      </c>
      <c r="D147" s="1" t="s">
        <v>216</v>
      </c>
      <c r="E147" t="b">
        <v>0</v>
      </c>
      <c r="F147" s="5">
        <v>70200</v>
      </c>
      <c r="G147" t="s">
        <v>541</v>
      </c>
      <c r="H147" t="s">
        <v>542</v>
      </c>
      <c r="I147" s="1" t="s">
        <v>543</v>
      </c>
      <c r="J147" s="60" t="str" cm="1">
        <f t="array" aca="1" ref="J147" ca="1">_xlfn.XLOOKUP(Assignments[[#This Row],[Company ID]], INDIRECT("'"&amp;Assignments[[#This Row],[Coordinator]]&amp;"'!$B:$B"), INDIRECT("'"&amp;Assignments[[#This Row],[Coordinator]]&amp;"'!$J:$J"), "")</f>
        <v>Received the COI through the portal today; the Spend authorization and the W-9 still pending. Contact acknowledged the request and is gathering the paperwork. Checking back next week.</v>
      </c>
      <c r="K147" s="12" t="str" cm="1">
        <f t="array" aca="1" ref="K147" ca="1">_xlfn.XLOOKUP(Assignments[[#This Row],[Company ID]], INDIRECT("'"&amp;Assignments[[#This Row],[Coordinator]]&amp;"'!$B:$B"), INDIRECT("'"&amp;Assignments[[#This Row],[Coordinator]]&amp;"'!$K:$K"), "")</f>
        <v>Received</v>
      </c>
      <c r="L147" s="12" t="str" cm="1">
        <f t="array" aca="1" ref="L147" ca="1">_xlfn.XLOOKUP(Assignments[[#This Row],[Company ID]], INDIRECT("'"&amp;Assignments[[#This Row],[Coordinator]]&amp;"'!$B:$B"), INDIRECT("'"&amp;Assignments[[#This Row],[Coordinator]]&amp;"'!$L:$L"), "")</f>
        <v>RECEIVED</v>
      </c>
    </row>
    <row r="148" spans="1:12" ht="30" customHeight="1" x14ac:dyDescent="0.25">
      <c r="A148" t="s">
        <v>449</v>
      </c>
      <c r="B148" s="2">
        <v>943992</v>
      </c>
      <c r="C148" t="s">
        <v>544</v>
      </c>
      <c r="D148" s="1" t="s">
        <v>216</v>
      </c>
      <c r="E148" t="b">
        <v>0</v>
      </c>
      <c r="F148" s="5">
        <v>67600</v>
      </c>
      <c r="G148" t="s">
        <v>545</v>
      </c>
      <c r="H148" t="s">
        <v>546</v>
      </c>
      <c r="I148" s="1" t="s">
        <v>547</v>
      </c>
      <c r="J148" s="60" t="str" cm="1">
        <f t="array" aca="1" ref="J148" ca="1">_xlfn.XLOOKUP(Assignments[[#This Row],[Company ID]], INDIRECT("'"&amp;Assignments[[#This Row],[Coordinator]]&amp;"'!$B:$B"), INDIRECT("'"&amp;Assignments[[#This Row],[Coordinator]]&amp;"'!$J:$J"), "")</f>
        <v>Progressing well: the COI and the W-9 accepted and logged. Outstanding item is the Spend authorization, which the contact expects by Thursday. Steady communication.</v>
      </c>
      <c r="K148" s="12" t="str" cm="1">
        <f t="array" aca="1" ref="K148" ca="1">_xlfn.XLOOKUP(Assignments[[#This Row],[Company ID]], INDIRECT("'"&amp;Assignments[[#This Row],[Coordinator]]&amp;"'!$B:$B"), INDIRECT("'"&amp;Assignments[[#This Row],[Coordinator]]&amp;"'!$K:$K"), "")</f>
        <v>Received</v>
      </c>
      <c r="L148" s="12" t="str" cm="1">
        <f t="array" aca="1" ref="L148" ca="1">_xlfn.XLOOKUP(Assignments[[#This Row],[Company ID]], INDIRECT("'"&amp;Assignments[[#This Row],[Coordinator]]&amp;"'!$B:$B"), INDIRECT("'"&amp;Assignments[[#This Row],[Coordinator]]&amp;"'!$L:$L"), "")</f>
        <v>RECEIVED</v>
      </c>
    </row>
    <row r="149" spans="1:12" ht="30" customHeight="1" x14ac:dyDescent="0.25">
      <c r="A149" t="s">
        <v>449</v>
      </c>
      <c r="B149" s="2">
        <v>509371</v>
      </c>
      <c r="C149" t="s">
        <v>548</v>
      </c>
      <c r="D149" s="1" t="s">
        <v>216</v>
      </c>
      <c r="E149" t="b">
        <v>0</v>
      </c>
      <c r="F149" s="5">
        <v>49100</v>
      </c>
      <c r="G149" t="s">
        <v>169</v>
      </c>
      <c r="H149" t="s">
        <v>549</v>
      </c>
      <c r="I149" s="1" t="s">
        <v>550</v>
      </c>
      <c r="J149" s="60" t="str" cm="1">
        <f t="array" aca="1" ref="J149" ca="1">_xlfn.XLOOKUP(Assignments[[#This Row],[Company ID]], INDIRECT("'"&amp;Assignments[[#This Row],[Coordinator]]&amp;"'!$B:$B"), INDIRECT("'"&amp;Assignments[[#This Row],[Coordinator]]&amp;"'!$J:$J"), "")</f>
        <v>Contact delivered the COI ahead of the deadline, completing the packet. Coverage and W-9 details confirmed current. Cleared for daily operations support.</v>
      </c>
      <c r="K149" s="12" t="str" cm="1">
        <f t="array" aca="1" ref="K149" ca="1">_xlfn.XLOOKUP(Assignments[[#This Row],[Company ID]], INDIRECT("'"&amp;Assignments[[#This Row],[Coordinator]]&amp;"'!$B:$B"), INDIRECT("'"&amp;Assignments[[#This Row],[Coordinator]]&amp;"'!$K:$K"), "")</f>
        <v>Completion</v>
      </c>
      <c r="L149" s="12" t="b" cm="1">
        <f t="array" aca="1" ref="L149" ca="1">_xlfn.XLOOKUP(Assignments[[#This Row],[Company ID]], INDIRECT("'"&amp;Assignments[[#This Row],[Coordinator]]&amp;"'!$B:$B"), INDIRECT("'"&amp;Assignments[[#This Row],[Coordinator]]&amp;"'!$L:$L"), "")</f>
        <v>1</v>
      </c>
    </row>
    <row r="150" spans="1:12" ht="30" customHeight="1" x14ac:dyDescent="0.25">
      <c r="A150" t="s">
        <v>449</v>
      </c>
      <c r="B150" s="2">
        <v>371207</v>
      </c>
      <c r="C150" t="s">
        <v>551</v>
      </c>
      <c r="D150" s="1" t="s">
        <v>221</v>
      </c>
      <c r="E150" t="b">
        <v>0</v>
      </c>
      <c r="F150" s="5">
        <v>20700</v>
      </c>
      <c r="G150" t="s">
        <v>202</v>
      </c>
      <c r="H150" t="s">
        <v>552</v>
      </c>
      <c r="I150" s="1" t="s">
        <v>553</v>
      </c>
      <c r="J150" s="60" t="str" cm="1">
        <f t="array" aca="1" ref="J150" ca="1">_xlfn.XLOOKUP(Assignments[[#This Row],[Company ID]], INDIRECT("'"&amp;Assignments[[#This Row],[Coordinator]]&amp;"'!$B:$B"), INDIRECT("'"&amp;Assignments[[#This Row],[Coordinator]]&amp;"'!$J:$J"), "")</f>
        <v>The coi pushed back owing to a pending budget approval on the vendor's end. The rest of the packet is fine. Expecting resolution by Wednesday.</v>
      </c>
      <c r="K150" s="12" t="str" cm="1">
        <f t="array" aca="1" ref="K150" ca="1">_xlfn.XLOOKUP(Assignments[[#This Row],[Company ID]], INDIRECT("'"&amp;Assignments[[#This Row],[Coordinator]]&amp;"'!$B:$B"), INDIRECT("'"&amp;Assignments[[#This Row],[Coordinator]]&amp;"'!$K:$K"), "")</f>
        <v>Delayed</v>
      </c>
      <c r="L150" s="12" t="b" cm="1">
        <f t="array" aca="1" ref="L150" ca="1">_xlfn.XLOOKUP(Assignments[[#This Row],[Company ID]], INDIRECT("'"&amp;Assignments[[#This Row],[Coordinator]]&amp;"'!$B:$B"), INDIRECT("'"&amp;Assignments[[#This Row],[Coordinator]]&amp;"'!$L:$L"), "")</f>
        <v>0</v>
      </c>
    </row>
    <row r="151" spans="1:12" ht="30" customHeight="1" x14ac:dyDescent="0.25">
      <c r="A151" t="s">
        <v>449</v>
      </c>
      <c r="B151" s="2">
        <v>508914</v>
      </c>
      <c r="C151" t="s">
        <v>554</v>
      </c>
      <c r="D151" s="1" t="s">
        <v>221</v>
      </c>
      <c r="E151" t="b">
        <v>0</v>
      </c>
      <c r="F151" s="5">
        <v>12700</v>
      </c>
      <c r="G151" t="s">
        <v>555</v>
      </c>
      <c r="H151" t="s">
        <v>556</v>
      </c>
      <c r="I151" s="1" t="s">
        <v>557</v>
      </c>
      <c r="J151" s="60" t="str" cm="1">
        <f t="array" aca="1" ref="J151" ca="1">_xlfn.XLOOKUP(Assignments[[#This Row],[Company ID]], INDIRECT("'"&amp;Assignments[[#This Row],[Coordinator]]&amp;"'!$B:$B"), INDIRECT("'"&amp;Assignments[[#This Row],[Coordinator]]&amp;"'!$J:$J"), "")</f>
        <v>Contact has gone quiet after an initial acknowledgment; recent emails are unanswered. No documents received yet. Attempting a call and considering escalation.</v>
      </c>
      <c r="K151" s="12" t="str" cm="1">
        <f t="array" aca="1" ref="K151" ca="1">_xlfn.XLOOKUP(Assignments[[#This Row],[Company ID]], INDIRECT("'"&amp;Assignments[[#This Row],[Coordinator]]&amp;"'!$B:$B"), INDIRECT("'"&amp;Assignments[[#This Row],[Coordinator]]&amp;"'!$K:$K"), "")</f>
        <v>Poor Communication</v>
      </c>
      <c r="L151" s="12" t="b" cm="1">
        <f t="array" aca="1" ref="L151" ca="1">_xlfn.XLOOKUP(Assignments[[#This Row],[Company ID]], INDIRECT("'"&amp;Assignments[[#This Row],[Coordinator]]&amp;"'!$B:$B"), INDIRECT("'"&amp;Assignments[[#This Row],[Coordinator]]&amp;"'!$L:$L"), "")</f>
        <v>0</v>
      </c>
    </row>
    <row r="152" spans="1:12" ht="30" customHeight="1" x14ac:dyDescent="0.25">
      <c r="A152" t="s">
        <v>449</v>
      </c>
      <c r="B152" s="2">
        <v>686988</v>
      </c>
      <c r="C152" t="s">
        <v>558</v>
      </c>
      <c r="D152" s="1" t="s">
        <v>437</v>
      </c>
      <c r="E152" t="b">
        <v>0</v>
      </c>
      <c r="F152" s="5">
        <v>3000</v>
      </c>
      <c r="G152" t="s">
        <v>186</v>
      </c>
      <c r="H152" t="s">
        <v>559</v>
      </c>
      <c r="I152" s="1" t="s">
        <v>560</v>
      </c>
      <c r="J152" s="60" t="str" cm="1">
        <f t="array" aca="1" ref="J152" ca="1">_xlfn.XLOOKUP(Assignments[[#This Row],[Company ID]], INDIRECT("'"&amp;Assignments[[#This Row],[Coordinator]]&amp;"'!$B:$B"), INDIRECT("'"&amp;Assignments[[#This Row],[Coordinator]]&amp;"'!$J:$J"), "")</f>
        <v>The spend authorization is delayed due to a pending budget approval on the vendor's end. A short extension was granted and acknowledged. Will re-check status by Wednesday.</v>
      </c>
      <c r="K152" s="12" t="str" cm="1">
        <f t="array" aca="1" ref="K152" ca="1">_xlfn.XLOOKUP(Assignments[[#This Row],[Company ID]], INDIRECT("'"&amp;Assignments[[#This Row],[Coordinator]]&amp;"'!$B:$B"), INDIRECT("'"&amp;Assignments[[#This Row],[Coordinator]]&amp;"'!$K:$K"), "")</f>
        <v>Delayed</v>
      </c>
      <c r="L152" s="12" t="b" cm="1">
        <f t="array" aca="1" ref="L152" ca="1">_xlfn.XLOOKUP(Assignments[[#This Row],[Company ID]], INDIRECT("'"&amp;Assignments[[#This Row],[Coordinator]]&amp;"'!$B:$B"), INDIRECT("'"&amp;Assignments[[#This Row],[Coordinator]]&amp;"'!$L:$L"), "")</f>
        <v>0</v>
      </c>
    </row>
    <row r="153" spans="1:12" ht="30" customHeight="1" x14ac:dyDescent="0.25">
      <c r="A153" t="s">
        <v>449</v>
      </c>
      <c r="B153" s="2">
        <v>422570</v>
      </c>
      <c r="C153" t="s">
        <v>561</v>
      </c>
      <c r="D153" s="1" t="s">
        <v>437</v>
      </c>
      <c r="E153" t="b">
        <v>0</v>
      </c>
      <c r="F153" s="5">
        <v>34600</v>
      </c>
      <c r="G153" t="s">
        <v>562</v>
      </c>
      <c r="H153" t="s">
        <v>563</v>
      </c>
      <c r="I153" s="1" t="s">
        <v>564</v>
      </c>
      <c r="J153" s="60" t="str" cm="1">
        <f t="array" aca="1" ref="J153" ca="1">_xlfn.XLOOKUP(Assignments[[#This Row],[Company ID]], INDIRECT("'"&amp;Assignments[[#This Row],[Coordinator]]&amp;"'!$B:$B"), INDIRECT("'"&amp;Assignments[[#This Row],[Coordinator]]&amp;"'!$J:$J"), "")</f>
        <v>The spend authorization received and verified; the W-9 and the COI still outstanding. Contact confirmed the remainder will be submitted by Monday. Following up then.</v>
      </c>
      <c r="K153" s="12" t="str" cm="1">
        <f t="array" aca="1" ref="K153" ca="1">_xlfn.XLOOKUP(Assignments[[#This Row],[Company ID]], INDIRECT("'"&amp;Assignments[[#This Row],[Coordinator]]&amp;"'!$B:$B"), INDIRECT("'"&amp;Assignments[[#This Row],[Coordinator]]&amp;"'!$K:$K"), "")</f>
        <v>Received</v>
      </c>
      <c r="L153" s="12" t="str" cm="1">
        <f t="array" aca="1" ref="L153" ca="1">_xlfn.XLOOKUP(Assignments[[#This Row],[Company ID]], INDIRECT("'"&amp;Assignments[[#This Row],[Coordinator]]&amp;"'!$B:$B"), INDIRECT("'"&amp;Assignments[[#This Row],[Coordinator]]&amp;"'!$L:$L"), "")</f>
        <v>RECEIVED</v>
      </c>
    </row>
    <row r="154" spans="1:12" ht="30" customHeight="1" x14ac:dyDescent="0.25">
      <c r="A154" t="s">
        <v>449</v>
      </c>
      <c r="B154" s="2">
        <v>599147</v>
      </c>
      <c r="C154" t="s">
        <v>565</v>
      </c>
      <c r="D154" s="1" t="s">
        <v>437</v>
      </c>
      <c r="E154" t="b">
        <v>0</v>
      </c>
      <c r="F154" s="5">
        <v>34900</v>
      </c>
      <c r="G154" t="s">
        <v>566</v>
      </c>
      <c r="H154" t="s">
        <v>567</v>
      </c>
      <c r="I154" s="1" t="s">
        <v>568</v>
      </c>
      <c r="J154" s="60" t="str" cm="1">
        <f t="array" aca="1" ref="J154" ca="1">_xlfn.XLOOKUP(Assignments[[#This Row],[Company ID]], INDIRECT("'"&amp;Assignments[[#This Row],[Coordinator]]&amp;"'!$B:$B"), INDIRECT("'"&amp;Assignments[[#This Row],[Coordinator]]&amp;"'!$J:$J"), "")</f>
        <v>Full document set received and reconciled against the master vendor record; the W-9 needed a quick correction, now resolved. No further discrepancies found. Onboarding officially complete.</v>
      </c>
      <c r="K154" s="12" t="str" cm="1">
        <f t="array" aca="1" ref="K154" ca="1">_xlfn.XLOOKUP(Assignments[[#This Row],[Company ID]], INDIRECT("'"&amp;Assignments[[#This Row],[Coordinator]]&amp;"'!$B:$B"), INDIRECT("'"&amp;Assignments[[#This Row],[Coordinator]]&amp;"'!$K:$K"), "")</f>
        <v>Completion</v>
      </c>
      <c r="L154" s="12" t="b" cm="1">
        <f t="array" aca="1" ref="L154" ca="1">_xlfn.XLOOKUP(Assignments[[#This Row],[Company ID]], INDIRECT("'"&amp;Assignments[[#This Row],[Coordinator]]&amp;"'!$B:$B"), INDIRECT("'"&amp;Assignments[[#This Row],[Coordinator]]&amp;"'!$L:$L"), "")</f>
        <v>1</v>
      </c>
    </row>
    <row r="155" spans="1:12" ht="30" customHeight="1" x14ac:dyDescent="0.25">
      <c r="A155" t="s">
        <v>449</v>
      </c>
      <c r="B155" s="2">
        <v>541046</v>
      </c>
      <c r="C155" t="s">
        <v>569</v>
      </c>
      <c r="D155" s="1" t="s">
        <v>570</v>
      </c>
      <c r="E155" t="b">
        <v>0</v>
      </c>
      <c r="F155" s="5">
        <v>8100</v>
      </c>
      <c r="G155" t="s">
        <v>571</v>
      </c>
      <c r="H155" t="s">
        <v>572</v>
      </c>
      <c r="I155" s="1" t="s">
        <v>573</v>
      </c>
      <c r="J155" s="60" t="str" cm="1">
        <f t="array" aca="1" ref="J155" ca="1">_xlfn.XLOOKUP(Assignments[[#This Row],[Company ID]], INDIRECT("'"&amp;Assignments[[#This Row],[Coordinator]]&amp;"'!$B:$B"), INDIRECT("'"&amp;Assignments[[#This Row],[Coordinator]]&amp;"'!$J:$J"), "")</f>
        <v>Contact uploaded the COI; the Spend authorization and the W-9 to follow once signed. Communication has been solid. Next check-in next week.</v>
      </c>
      <c r="K155" s="12" t="str" cm="1">
        <f t="array" aca="1" ref="K155" ca="1">_xlfn.XLOOKUP(Assignments[[#This Row],[Company ID]], INDIRECT("'"&amp;Assignments[[#This Row],[Coordinator]]&amp;"'!$B:$B"), INDIRECT("'"&amp;Assignments[[#This Row],[Coordinator]]&amp;"'!$K:$K"), "")</f>
        <v>Received</v>
      </c>
      <c r="L155" s="12" t="str" cm="1">
        <f t="array" aca="1" ref="L155" ca="1">_xlfn.XLOOKUP(Assignments[[#This Row],[Company ID]], INDIRECT("'"&amp;Assignments[[#This Row],[Coordinator]]&amp;"'!$B:$B"), INDIRECT("'"&amp;Assignments[[#This Row],[Coordinator]]&amp;"'!$L:$L"), "")</f>
        <v>RECEIVED</v>
      </c>
    </row>
    <row r="156" spans="1:12" ht="30" customHeight="1" x14ac:dyDescent="0.25">
      <c r="A156" t="s">
        <v>449</v>
      </c>
      <c r="B156" s="2">
        <v>253468</v>
      </c>
      <c r="C156" t="s">
        <v>574</v>
      </c>
      <c r="D156" s="1" t="s">
        <v>570</v>
      </c>
      <c r="E156" t="b">
        <v>0</v>
      </c>
      <c r="F156" s="5">
        <v>71000</v>
      </c>
      <c r="G156" t="s">
        <v>575</v>
      </c>
      <c r="H156" t="s">
        <v>576</v>
      </c>
      <c r="I156" s="1" t="s">
        <v>577</v>
      </c>
      <c r="J156" s="60" t="str" cm="1">
        <f t="array" aca="1" ref="J156" ca="1">_xlfn.XLOOKUP(Assignments[[#This Row],[Company ID]], INDIRECT("'"&amp;Assignments[[#This Row],[Coordinator]]&amp;"'!$B:$B"), INDIRECT("'"&amp;Assignments[[#This Row],[Coordinator]]&amp;"'!$J:$J"), "")</f>
        <v>Full document set received and reconciled against the master vendor record; the W-9 needed a quick correction, now resolved. No further discrepancies found. Onboarding officially complete.</v>
      </c>
      <c r="K156" s="12" t="str" cm="1">
        <f t="array" aca="1" ref="K156" ca="1">_xlfn.XLOOKUP(Assignments[[#This Row],[Company ID]], INDIRECT("'"&amp;Assignments[[#This Row],[Coordinator]]&amp;"'!$B:$B"), INDIRECT("'"&amp;Assignments[[#This Row],[Coordinator]]&amp;"'!$K:$K"), "")</f>
        <v>Completion</v>
      </c>
      <c r="L156" s="12" t="b" cm="1">
        <f t="array" aca="1" ref="L156" ca="1">_xlfn.XLOOKUP(Assignments[[#This Row],[Company ID]], INDIRECT("'"&amp;Assignments[[#This Row],[Coordinator]]&amp;"'!$B:$B"), INDIRECT("'"&amp;Assignments[[#This Row],[Coordinator]]&amp;"'!$L:$L"), "")</f>
        <v>1</v>
      </c>
    </row>
    <row r="157" spans="1:12" ht="30" customHeight="1" x14ac:dyDescent="0.25">
      <c r="A157" t="s">
        <v>449</v>
      </c>
      <c r="B157" s="2">
        <v>906914</v>
      </c>
      <c r="C157" t="s">
        <v>578</v>
      </c>
      <c r="D157" s="1" t="s">
        <v>570</v>
      </c>
      <c r="E157" t="b">
        <v>0</v>
      </c>
      <c r="F157" s="5">
        <v>10500</v>
      </c>
      <c r="G157" t="s">
        <v>579</v>
      </c>
      <c r="H157" t="s">
        <v>580</v>
      </c>
      <c r="I157" s="1" t="s">
        <v>581</v>
      </c>
      <c r="J157" s="60" t="str" cm="1">
        <f t="array" aca="1" ref="J157" ca="1">_xlfn.XLOOKUP(Assignments[[#This Row],[Company ID]], INDIRECT("'"&amp;Assignments[[#This Row],[Coordinator]]&amp;"'!$B:$B"), INDIRECT("'"&amp;Assignments[[#This Row],[Coordinator]]&amp;"'!$J:$J"), "")</f>
        <v>Replies are sporadic and often incomplete, slowing everything down. Still awaiting all required documents. Setting a firm deadline in the next message.</v>
      </c>
      <c r="K157" s="12" t="str" cm="1">
        <f t="array" aca="1" ref="K157" ca="1">_xlfn.XLOOKUP(Assignments[[#This Row],[Company ID]], INDIRECT("'"&amp;Assignments[[#This Row],[Coordinator]]&amp;"'!$B:$B"), INDIRECT("'"&amp;Assignments[[#This Row],[Coordinator]]&amp;"'!$K:$K"), "")</f>
        <v>Poor Communication</v>
      </c>
      <c r="L157" s="12" t="b" cm="1">
        <f t="array" aca="1" ref="L157" ca="1">_xlfn.XLOOKUP(Assignments[[#This Row],[Company ID]], INDIRECT("'"&amp;Assignments[[#This Row],[Coordinator]]&amp;"'!$B:$B"), INDIRECT("'"&amp;Assignments[[#This Row],[Coordinator]]&amp;"'!$L:$L"), "")</f>
        <v>0</v>
      </c>
    </row>
    <row r="158" spans="1:12" ht="30" customHeight="1" x14ac:dyDescent="0.25">
      <c r="A158" t="s">
        <v>449</v>
      </c>
      <c r="B158" s="2">
        <v>778670</v>
      </c>
      <c r="C158" t="s">
        <v>582</v>
      </c>
      <c r="D158" s="1" t="s">
        <v>441</v>
      </c>
      <c r="E158" t="b">
        <v>0</v>
      </c>
      <c r="F158" s="5">
        <v>7400</v>
      </c>
      <c r="G158" t="s">
        <v>583</v>
      </c>
      <c r="H158" t="s">
        <v>584</v>
      </c>
      <c r="I158" s="1" t="s">
        <v>585</v>
      </c>
      <c r="J158" s="60" t="str" cm="1">
        <f t="array" aca="1" ref="J158" ca="1">_xlfn.XLOOKUP(Assignments[[#This Row],[Company ID]], INDIRECT("'"&amp;Assignments[[#This Row],[Coordinator]]&amp;"'!$B:$B"), INDIRECT("'"&amp;Assignments[[#This Row],[Coordinator]]&amp;"'!$J:$J"), "")</f>
        <v>The coi pushed back owing to a legal entity name change working through their system. The rest of the packet is fine. Expecting resolution by Tuesday.</v>
      </c>
      <c r="K158" s="12" t="str" cm="1">
        <f t="array" aca="1" ref="K158" ca="1">_xlfn.XLOOKUP(Assignments[[#This Row],[Company ID]], INDIRECT("'"&amp;Assignments[[#This Row],[Coordinator]]&amp;"'!$B:$B"), INDIRECT("'"&amp;Assignments[[#This Row],[Coordinator]]&amp;"'!$K:$K"), "")</f>
        <v>Delayed</v>
      </c>
      <c r="L158" s="12" t="b" cm="1">
        <f t="array" aca="1" ref="L158" ca="1">_xlfn.XLOOKUP(Assignments[[#This Row],[Company ID]], INDIRECT("'"&amp;Assignments[[#This Row],[Coordinator]]&amp;"'!$B:$B"), INDIRECT("'"&amp;Assignments[[#This Row],[Coordinator]]&amp;"'!$L:$L"), "")</f>
        <v>0</v>
      </c>
    </row>
    <row r="159" spans="1:12" ht="30" customHeight="1" x14ac:dyDescent="0.25">
      <c r="A159" t="s">
        <v>449</v>
      </c>
      <c r="B159" s="2">
        <v>216115</v>
      </c>
      <c r="C159" t="s">
        <v>586</v>
      </c>
      <c r="D159" s="1" t="s">
        <v>587</v>
      </c>
      <c r="E159" t="b">
        <v>0</v>
      </c>
      <c r="F159" s="5">
        <v>40900</v>
      </c>
      <c r="G159" t="s">
        <v>588</v>
      </c>
      <c r="H159" t="s">
        <v>589</v>
      </c>
      <c r="I159" s="1" t="s">
        <v>590</v>
      </c>
      <c r="J159" s="60" t="str" cm="1">
        <f t="array" aca="1" ref="J159" ca="1">_xlfn.XLOOKUP(Assignments[[#This Row],[Company ID]], INDIRECT("'"&amp;Assignments[[#This Row],[Coordinator]]&amp;"'!$B:$B"), INDIRECT("'"&amp;Assignments[[#This Row],[Coordinator]]&amp;"'!$J:$J"), "")</f>
        <v>Progressing well: the COI accepted and logged. Outstanding item is the Spend authorization and the W-9, which the contact expects by next week. Steady communication.</v>
      </c>
      <c r="K159" s="12" t="str" cm="1">
        <f t="array" aca="1" ref="K159" ca="1">_xlfn.XLOOKUP(Assignments[[#This Row],[Company ID]], INDIRECT("'"&amp;Assignments[[#This Row],[Coordinator]]&amp;"'!$B:$B"), INDIRECT("'"&amp;Assignments[[#This Row],[Coordinator]]&amp;"'!$K:$K"), "")</f>
        <v>Received</v>
      </c>
      <c r="L159" s="12" t="str" cm="1">
        <f t="array" aca="1" ref="L159" ca="1">_xlfn.XLOOKUP(Assignments[[#This Row],[Company ID]], INDIRECT("'"&amp;Assignments[[#This Row],[Coordinator]]&amp;"'!$B:$B"), INDIRECT("'"&amp;Assignments[[#This Row],[Coordinator]]&amp;"'!$L:$L"), "")</f>
        <v>RECEIVED</v>
      </c>
    </row>
    <row r="160" spans="1:12" ht="30" customHeight="1" x14ac:dyDescent="0.25">
      <c r="A160" t="s">
        <v>449</v>
      </c>
      <c r="B160" s="2">
        <v>474604</v>
      </c>
      <c r="C160" t="s">
        <v>591</v>
      </c>
      <c r="D160" s="1" t="s">
        <v>587</v>
      </c>
      <c r="E160" t="b">
        <v>0</v>
      </c>
      <c r="F160" s="5">
        <v>76700</v>
      </c>
      <c r="G160" t="s">
        <v>592</v>
      </c>
      <c r="H160" t="s">
        <v>593</v>
      </c>
      <c r="I160" s="1" t="s">
        <v>594</v>
      </c>
      <c r="J160" s="60" t="str" cm="1">
        <f t="array" aca="1" ref="J160" ca="1">_xlfn.XLOOKUP(Assignments[[#This Row],[Company ID]], INDIRECT("'"&amp;Assignments[[#This Row],[Coordinator]]&amp;"'!$B:$B"), INDIRECT("'"&amp;Assignments[[#This Row],[Coordinator]]&amp;"'!$J:$J"), "")</f>
        <v>The w-9 and the spend authorization received and verified; the COI still outstanding. Contact confirmed the remainder will be submitted by Monday. Following up then.</v>
      </c>
      <c r="K160" s="12" t="str" cm="1">
        <f t="array" aca="1" ref="K160" ca="1">_xlfn.XLOOKUP(Assignments[[#This Row],[Company ID]], INDIRECT("'"&amp;Assignments[[#This Row],[Coordinator]]&amp;"'!$B:$B"), INDIRECT("'"&amp;Assignments[[#This Row],[Coordinator]]&amp;"'!$K:$K"), "")</f>
        <v>Received</v>
      </c>
      <c r="L160" s="12" t="str" cm="1">
        <f t="array" aca="1" ref="L160" ca="1">_xlfn.XLOOKUP(Assignments[[#This Row],[Company ID]], INDIRECT("'"&amp;Assignments[[#This Row],[Coordinator]]&amp;"'!$B:$B"), INDIRECT("'"&amp;Assignments[[#This Row],[Coordinator]]&amp;"'!$L:$L"), "")</f>
        <v>RECEIVED</v>
      </c>
    </row>
    <row r="161" spans="1:12" ht="30" customHeight="1" x14ac:dyDescent="0.25">
      <c r="A161" t="s">
        <v>449</v>
      </c>
      <c r="B161" s="2">
        <v>262278</v>
      </c>
      <c r="C161" t="s">
        <v>595</v>
      </c>
      <c r="D161" s="1" t="s">
        <v>587</v>
      </c>
      <c r="E161" t="b">
        <v>0</v>
      </c>
      <c r="F161" s="5">
        <v>85800</v>
      </c>
      <c r="G161" t="s">
        <v>596</v>
      </c>
      <c r="H161" t="s">
        <v>597</v>
      </c>
      <c r="I161" s="1" t="s">
        <v>598</v>
      </c>
      <c r="J161" s="60" t="str" cm="1">
        <f t="array" aca="1" ref="J161" ca="1">_xlfn.XLOOKUP(Assignments[[#This Row],[Company ID]], INDIRECT("'"&amp;Assignments[[#This Row],[Coordinator]]&amp;"'!$B:$B"), INDIRECT("'"&amp;Assignments[[#This Row],[Coordinator]]&amp;"'!$J:$J"), "")</f>
        <v>The coi received and verified; the W-9 and the Spend authorization still outstanding. Contact confirmed the remainder will be submitted by next week. Following up then.</v>
      </c>
      <c r="K161" s="12" t="str" cm="1">
        <f t="array" aca="1" ref="K161" ca="1">_xlfn.XLOOKUP(Assignments[[#This Row],[Company ID]], INDIRECT("'"&amp;Assignments[[#This Row],[Coordinator]]&amp;"'!$B:$B"), INDIRECT("'"&amp;Assignments[[#This Row],[Coordinator]]&amp;"'!$K:$K"), "")</f>
        <v>Received</v>
      </c>
      <c r="L161" s="12" t="str" cm="1">
        <f t="array" aca="1" ref="L161" ca="1">_xlfn.XLOOKUP(Assignments[[#This Row],[Company ID]], INDIRECT("'"&amp;Assignments[[#This Row],[Coordinator]]&amp;"'!$B:$B"), INDIRECT("'"&amp;Assignments[[#This Row],[Coordinator]]&amp;"'!$L:$L"), "")</f>
        <v>RECEIVED</v>
      </c>
    </row>
    <row r="162" spans="1:12" ht="30" customHeight="1" x14ac:dyDescent="0.25">
      <c r="A162" t="s">
        <v>449</v>
      </c>
      <c r="B162" s="2">
        <v>920417</v>
      </c>
      <c r="C162" t="s">
        <v>599</v>
      </c>
      <c r="D162" s="1" t="s">
        <v>587</v>
      </c>
      <c r="E162" t="b">
        <v>0</v>
      </c>
      <c r="F162" s="5">
        <v>21900</v>
      </c>
      <c r="G162" t="s">
        <v>600</v>
      </c>
      <c r="H162" t="s">
        <v>71</v>
      </c>
      <c r="I162" s="1" t="s">
        <v>601</v>
      </c>
      <c r="J162" s="60" t="str" cm="1">
        <f t="array" aca="1" ref="J162" ca="1">_xlfn.XLOOKUP(Assignments[[#This Row],[Company ID]], INDIRECT("'"&amp;Assignments[[#This Row],[Coordinator]]&amp;"'!$B:$B"), INDIRECT("'"&amp;Assignments[[#This Row],[Coordinator]]&amp;"'!$J:$J"), "")</f>
        <v>Progressing well: the COI and the Spend authorization accepted and logged. Outstanding item is the W-9, which the contact expects by next week. Steady communication.</v>
      </c>
      <c r="K162" s="12" t="str" cm="1">
        <f t="array" aca="1" ref="K162" ca="1">_xlfn.XLOOKUP(Assignments[[#This Row],[Company ID]], INDIRECT("'"&amp;Assignments[[#This Row],[Coordinator]]&amp;"'!$B:$B"), INDIRECT("'"&amp;Assignments[[#This Row],[Coordinator]]&amp;"'!$K:$K"), "")</f>
        <v>Received</v>
      </c>
      <c r="L162" s="12" t="str" cm="1">
        <f t="array" aca="1" ref="L162" ca="1">_xlfn.XLOOKUP(Assignments[[#This Row],[Company ID]], INDIRECT("'"&amp;Assignments[[#This Row],[Coordinator]]&amp;"'!$B:$B"), INDIRECT("'"&amp;Assignments[[#This Row],[Coordinator]]&amp;"'!$L:$L"), "")</f>
        <v>RECEIVED</v>
      </c>
    </row>
    <row r="163" spans="1:12" ht="30" customHeight="1" x14ac:dyDescent="0.25">
      <c r="A163" t="s">
        <v>449</v>
      </c>
      <c r="B163" s="2">
        <v>983362</v>
      </c>
      <c r="C163" t="s">
        <v>602</v>
      </c>
      <c r="D163" s="1" t="s">
        <v>603</v>
      </c>
      <c r="E163" t="b">
        <v>0</v>
      </c>
      <c r="F163" s="5">
        <v>35700</v>
      </c>
      <c r="G163" t="s">
        <v>604</v>
      </c>
      <c r="H163" t="s">
        <v>605</v>
      </c>
      <c r="I163" s="1" t="s">
        <v>606</v>
      </c>
      <c r="J163" s="60" t="str" cm="1">
        <f t="array" aca="1" ref="J163" ca="1">_xlfn.XLOOKUP(Assignments[[#This Row],[Company ID]], INDIRECT("'"&amp;Assignments[[#This Row],[Coordinator]]&amp;"'!$B:$B"), INDIRECT("'"&amp;Assignments[[#This Row],[Coordinator]]&amp;"'!$J:$J"), "")</f>
        <v>Third outreach attempt with no response from the contact. Voicemail left and a follow-up email sent requesting the outstanding documents. Escalating to a backup contact if no reply by Friday.</v>
      </c>
      <c r="K163" s="12" t="str" cm="1">
        <f t="array" aca="1" ref="K163" ca="1">_xlfn.XLOOKUP(Assignments[[#This Row],[Company ID]], INDIRECT("'"&amp;Assignments[[#This Row],[Coordinator]]&amp;"'!$B:$B"), INDIRECT("'"&amp;Assignments[[#This Row],[Coordinator]]&amp;"'!$K:$K"), "")</f>
        <v>Poor Communication</v>
      </c>
      <c r="L163" s="12" t="b" cm="1">
        <f t="array" aca="1" ref="L163" ca="1">_xlfn.XLOOKUP(Assignments[[#This Row],[Company ID]], INDIRECT("'"&amp;Assignments[[#This Row],[Coordinator]]&amp;"'!$B:$B"), INDIRECT("'"&amp;Assignments[[#This Row],[Coordinator]]&amp;"'!$L:$L"), "")</f>
        <v>0</v>
      </c>
    </row>
    <row r="164" spans="1:12" ht="30" customHeight="1" x14ac:dyDescent="0.25">
      <c r="A164" t="s">
        <v>449</v>
      </c>
      <c r="B164" s="2">
        <v>105380</v>
      </c>
      <c r="C164" t="s">
        <v>607</v>
      </c>
      <c r="D164" s="1" t="s">
        <v>603</v>
      </c>
      <c r="E164" t="b">
        <v>0</v>
      </c>
      <c r="F164" s="5">
        <v>53900</v>
      </c>
      <c r="G164" t="s">
        <v>608</v>
      </c>
      <c r="H164" t="s">
        <v>609</v>
      </c>
      <c r="I164" s="1" t="s">
        <v>610</v>
      </c>
      <c r="J164" s="60" t="str" cm="1">
        <f t="array" aca="1" ref="J164" ca="1">_xlfn.XLOOKUP(Assignments[[#This Row],[Company ID]], INDIRECT("'"&amp;Assignments[[#This Row],[Coordinator]]&amp;"'!$B:$B"), INDIRECT("'"&amp;Assignments[[#This Row],[Coordinator]]&amp;"'!$J:$J"), "")</f>
        <v>Contact uploaded the W-9; the Spend authorization and the COI to follow once signed. Communication has been solid. Next check-in Monday.</v>
      </c>
      <c r="K164" s="12" t="str" cm="1">
        <f t="array" aca="1" ref="K164" ca="1">_xlfn.XLOOKUP(Assignments[[#This Row],[Company ID]], INDIRECT("'"&amp;Assignments[[#This Row],[Coordinator]]&amp;"'!$B:$B"), INDIRECT("'"&amp;Assignments[[#This Row],[Coordinator]]&amp;"'!$K:$K"), "")</f>
        <v>Received</v>
      </c>
      <c r="L164" s="12" t="str" cm="1">
        <f t="array" aca="1" ref="L164" ca="1">_xlfn.XLOOKUP(Assignments[[#This Row],[Company ID]], INDIRECT("'"&amp;Assignments[[#This Row],[Coordinator]]&amp;"'!$B:$B"), INDIRECT("'"&amp;Assignments[[#This Row],[Coordinator]]&amp;"'!$L:$L"), "")</f>
        <v>RECEIVED</v>
      </c>
    </row>
    <row r="165" spans="1:12" ht="30" customHeight="1" x14ac:dyDescent="0.25">
      <c r="A165" t="s">
        <v>449</v>
      </c>
      <c r="B165" s="2">
        <v>700381</v>
      </c>
      <c r="C165" t="s">
        <v>611</v>
      </c>
      <c r="D165" s="1" t="s">
        <v>446</v>
      </c>
      <c r="E165" t="b">
        <v>0</v>
      </c>
      <c r="F165" s="5">
        <v>26100</v>
      </c>
      <c r="G165" t="s">
        <v>98</v>
      </c>
      <c r="H165" t="s">
        <v>612</v>
      </c>
      <c r="I165" s="1" t="s">
        <v>613</v>
      </c>
      <c r="J165" s="60" t="str" cm="1">
        <f t="array" aca="1" ref="J165" ca="1">_xlfn.XLOOKUP(Assignments[[#This Row],[Company ID]], INDIRECT("'"&amp;Assignments[[#This Row],[Coordinator]]&amp;"'!$B:$B"), INDIRECT("'"&amp;Assignments[[#This Row],[Coordinator]]&amp;"'!$J:$J"), "")</f>
        <v>Progressing well: the W-9 accepted and logged. Outstanding item is the Spend authorization and the COI, which the contact expects by Thursday. Steady communication.</v>
      </c>
      <c r="K165" s="12" t="str" cm="1">
        <f t="array" aca="1" ref="K165" ca="1">_xlfn.XLOOKUP(Assignments[[#This Row],[Company ID]], INDIRECT("'"&amp;Assignments[[#This Row],[Coordinator]]&amp;"'!$B:$B"), INDIRECT("'"&amp;Assignments[[#This Row],[Coordinator]]&amp;"'!$K:$K"), "")</f>
        <v>Received</v>
      </c>
      <c r="L165" s="12" t="str" cm="1">
        <f t="array" aca="1" ref="L165" ca="1">_xlfn.XLOOKUP(Assignments[[#This Row],[Company ID]], INDIRECT("'"&amp;Assignments[[#This Row],[Coordinator]]&amp;"'!$B:$B"), INDIRECT("'"&amp;Assignments[[#This Row],[Coordinator]]&amp;"'!$L:$L"), "")</f>
        <v>RECEIVED</v>
      </c>
    </row>
    <row r="166" spans="1:12" ht="30" customHeight="1" x14ac:dyDescent="0.25">
      <c r="A166" t="s">
        <v>449</v>
      </c>
      <c r="B166" s="2">
        <v>923220</v>
      </c>
      <c r="C166" t="s">
        <v>614</v>
      </c>
      <c r="D166" s="1" t="s">
        <v>446</v>
      </c>
      <c r="E166" t="b">
        <v>0</v>
      </c>
      <c r="F166" s="5">
        <v>1200</v>
      </c>
      <c r="G166" t="s">
        <v>615</v>
      </c>
      <c r="H166" t="s">
        <v>616</v>
      </c>
      <c r="I166" s="1" t="s">
        <v>617</v>
      </c>
      <c r="J166" s="60" t="str" cm="1">
        <f t="array" aca="1" ref="J166" ca="1">_xlfn.XLOOKUP(Assignments[[#This Row],[Company ID]], INDIRECT("'"&amp;Assignments[[#This Row],[Coordinator]]&amp;"'!$B:$B"), INDIRECT("'"&amp;Assignments[[#This Row],[Coordinator]]&amp;"'!$J:$J"), "")</f>
        <v>Submission of the COI stalled because of a holiday closure at the vendor's corporate office. Contact remains responsive despite the holdup. Re-checking Tuesday.</v>
      </c>
      <c r="K166" s="12" t="str" cm="1">
        <f t="array" aca="1" ref="K166" ca="1">_xlfn.XLOOKUP(Assignments[[#This Row],[Company ID]], INDIRECT("'"&amp;Assignments[[#This Row],[Coordinator]]&amp;"'!$B:$B"), INDIRECT("'"&amp;Assignments[[#This Row],[Coordinator]]&amp;"'!$K:$K"), "")</f>
        <v>Delayed</v>
      </c>
      <c r="L166" s="12" t="b" cm="1">
        <f t="array" aca="1" ref="L166" ca="1">_xlfn.XLOOKUP(Assignments[[#This Row],[Company ID]], INDIRECT("'"&amp;Assignments[[#This Row],[Coordinator]]&amp;"'!$B:$B"), INDIRECT("'"&amp;Assignments[[#This Row],[Coordinator]]&amp;"'!$L:$L"), "")</f>
        <v>0</v>
      </c>
    </row>
    <row r="167" spans="1:12" ht="30" customHeight="1" x14ac:dyDescent="0.25">
      <c r="A167" t="s">
        <v>449</v>
      </c>
      <c r="B167" s="2">
        <v>855470</v>
      </c>
      <c r="C167" t="s">
        <v>618</v>
      </c>
      <c r="D167" s="1" t="s">
        <v>446</v>
      </c>
      <c r="E167" t="b">
        <v>0</v>
      </c>
      <c r="F167" s="5">
        <v>3300</v>
      </c>
      <c r="G167" t="s">
        <v>24</v>
      </c>
      <c r="H167" t="s">
        <v>619</v>
      </c>
      <c r="I167" s="1" t="s">
        <v>620</v>
      </c>
      <c r="J167" s="60" t="str" cm="1">
        <f t="array" aca="1" ref="J167" ca="1">_xlfn.XLOOKUP(Assignments[[#This Row],[Company ID]], INDIRECT("'"&amp;Assignments[[#This Row],[Coordinator]]&amp;"'!$B:$B"), INDIRECT("'"&amp;Assignments[[#This Row],[Coordinator]]&amp;"'!$J:$J"), "")</f>
        <v>First batch received: the W-9 logged and approved. Still awaiting the COI and the Spend authorization. Contact committed to finishing by next week.</v>
      </c>
      <c r="K167" s="12" t="str" cm="1">
        <f t="array" aca="1" ref="K167" ca="1">_xlfn.XLOOKUP(Assignments[[#This Row],[Company ID]], INDIRECT("'"&amp;Assignments[[#This Row],[Coordinator]]&amp;"'!$B:$B"), INDIRECT("'"&amp;Assignments[[#This Row],[Coordinator]]&amp;"'!$K:$K"), "")</f>
        <v>Received</v>
      </c>
      <c r="L167" s="12" t="str" cm="1">
        <f t="array" aca="1" ref="L167" ca="1">_xlfn.XLOOKUP(Assignments[[#This Row],[Company ID]], INDIRECT("'"&amp;Assignments[[#This Row],[Coordinator]]&amp;"'!$B:$B"), INDIRECT("'"&amp;Assignments[[#This Row],[Coordinator]]&amp;"'!$L:$L"), "")</f>
        <v>RECEIVED</v>
      </c>
    </row>
    <row r="168" spans="1:12" ht="30" customHeight="1" x14ac:dyDescent="0.25">
      <c r="A168" t="s">
        <v>449</v>
      </c>
      <c r="B168" s="2">
        <v>579668</v>
      </c>
      <c r="C168" t="s">
        <v>621</v>
      </c>
      <c r="D168" s="1" t="s">
        <v>622</v>
      </c>
      <c r="E168" t="b">
        <v>0</v>
      </c>
      <c r="F168" s="5">
        <v>100300</v>
      </c>
      <c r="G168" t="s">
        <v>623</v>
      </c>
      <c r="H168" t="s">
        <v>624</v>
      </c>
      <c r="I168" s="1" t="s">
        <v>625</v>
      </c>
      <c r="J168" s="60" t="str" cm="1">
        <f t="array" aca="1" ref="J168" ca="1">_xlfn.XLOOKUP(Assignments[[#This Row],[Company ID]], INDIRECT("'"&amp;Assignments[[#This Row],[Coordinator]]&amp;"'!$B:$B"), INDIRECT("'"&amp;Assignments[[#This Row],[Coordinator]]&amp;"'!$J:$J"), "")</f>
        <v>Replies are sporadic and often incomplete, slowing everything down. Still awaiting all required documents. Setting a firm deadline in the next message.</v>
      </c>
      <c r="K168" s="12" t="str" cm="1">
        <f t="array" aca="1" ref="K168" ca="1">_xlfn.XLOOKUP(Assignments[[#This Row],[Company ID]], INDIRECT("'"&amp;Assignments[[#This Row],[Coordinator]]&amp;"'!$B:$B"), INDIRECT("'"&amp;Assignments[[#This Row],[Coordinator]]&amp;"'!$K:$K"), "")</f>
        <v>Poor Communication</v>
      </c>
      <c r="L168" s="12" t="b" cm="1">
        <f t="array" aca="1" ref="L168" ca="1">_xlfn.XLOOKUP(Assignments[[#This Row],[Company ID]], INDIRECT("'"&amp;Assignments[[#This Row],[Coordinator]]&amp;"'!$B:$B"), INDIRECT("'"&amp;Assignments[[#This Row],[Coordinator]]&amp;"'!$L:$L"), "")</f>
        <v>0</v>
      </c>
    </row>
    <row r="169" spans="1:12" ht="30" customHeight="1" x14ac:dyDescent="0.25">
      <c r="A169" t="s">
        <v>449</v>
      </c>
      <c r="B169" s="2">
        <v>849231</v>
      </c>
      <c r="C169" t="s">
        <v>626</v>
      </c>
      <c r="D169" s="1" t="s">
        <v>622</v>
      </c>
      <c r="E169" t="b">
        <v>0</v>
      </c>
      <c r="F169" s="5">
        <v>82500</v>
      </c>
      <c r="G169" t="s">
        <v>627</v>
      </c>
      <c r="H169" t="s">
        <v>628</v>
      </c>
      <c r="I169" s="1" t="s">
        <v>629</v>
      </c>
      <c r="J169" s="60" t="str" cm="1">
        <f t="array" aca="1" ref="J169" ca="1">_xlfn.XLOOKUP(Assignments[[#This Row],[Company ID]], INDIRECT("'"&amp;Assignments[[#This Row],[Coordinator]]&amp;"'!$B:$B"), INDIRECT("'"&amp;Assignments[[#This Row],[Coordinator]]&amp;"'!$J:$J"), "")</f>
        <v>All three required documents were approved on first pass, the W-9 included. The Certificate of Insurance names the arena as additional insured, as required. Vendor is good to go.</v>
      </c>
      <c r="K169" s="12" t="str" cm="1">
        <f t="array" aca="1" ref="K169" ca="1">_xlfn.XLOOKUP(Assignments[[#This Row],[Company ID]], INDIRECT("'"&amp;Assignments[[#This Row],[Coordinator]]&amp;"'!$B:$B"), INDIRECT("'"&amp;Assignments[[#This Row],[Coordinator]]&amp;"'!$K:$K"), "")</f>
        <v>Completion</v>
      </c>
      <c r="L169" s="12" t="b" cm="1">
        <f t="array" aca="1" ref="L169" ca="1">_xlfn.XLOOKUP(Assignments[[#This Row],[Company ID]], INDIRECT("'"&amp;Assignments[[#This Row],[Coordinator]]&amp;"'!$B:$B"), INDIRECT("'"&amp;Assignments[[#This Row],[Coordinator]]&amp;"'!$L:$L"), "")</f>
        <v>1</v>
      </c>
    </row>
    <row r="170" spans="1:12" ht="30" customHeight="1" x14ac:dyDescent="0.25">
      <c r="A170" t="s">
        <v>449</v>
      </c>
      <c r="B170" s="2">
        <v>486761</v>
      </c>
      <c r="C170" t="s">
        <v>630</v>
      </c>
      <c r="D170" s="1" t="s">
        <v>230</v>
      </c>
      <c r="E170" t="b">
        <v>0</v>
      </c>
      <c r="F170" s="5">
        <v>41900</v>
      </c>
      <c r="G170" t="s">
        <v>631</v>
      </c>
      <c r="H170" t="s">
        <v>632</v>
      </c>
      <c r="I170" s="1" t="s">
        <v>633</v>
      </c>
      <c r="J170" s="60" t="str" cm="1">
        <f t="array" aca="1" ref="J170" ca="1">_xlfn.XLOOKUP(Assignments[[#This Row],[Company ID]], INDIRECT("'"&amp;Assignments[[#This Row],[Coordinator]]&amp;"'!$B:$B"), INDIRECT("'"&amp;Assignments[[#This Row],[Coordinator]]&amp;"'!$J:$J"), "")</f>
        <v>Contact has gone quiet after an initial acknowledgment; recent emails are unanswered. No documents received yet. Attempting a call and considering escalation.</v>
      </c>
      <c r="K170" s="12" t="str" cm="1">
        <f t="array" aca="1" ref="K170" ca="1">_xlfn.XLOOKUP(Assignments[[#This Row],[Company ID]], INDIRECT("'"&amp;Assignments[[#This Row],[Coordinator]]&amp;"'!$B:$B"), INDIRECT("'"&amp;Assignments[[#This Row],[Coordinator]]&amp;"'!$K:$K"), "")</f>
        <v>Poor Communication</v>
      </c>
      <c r="L170" s="12" t="b" cm="1">
        <f t="array" aca="1" ref="L170" ca="1">_xlfn.XLOOKUP(Assignments[[#This Row],[Company ID]], INDIRECT("'"&amp;Assignments[[#This Row],[Coordinator]]&amp;"'!$B:$B"), INDIRECT("'"&amp;Assignments[[#This Row],[Coordinator]]&amp;"'!$L:$L"), "")</f>
        <v>0</v>
      </c>
    </row>
    <row r="171" spans="1:12" ht="30" customHeight="1" x14ac:dyDescent="0.25">
      <c r="A171" t="s">
        <v>449</v>
      </c>
      <c r="B171" s="2">
        <v>589247</v>
      </c>
      <c r="C171" t="s">
        <v>634</v>
      </c>
      <c r="D171" s="1" t="s">
        <v>230</v>
      </c>
      <c r="E171" t="b">
        <v>0</v>
      </c>
      <c r="F171" s="5">
        <v>63200</v>
      </c>
      <c r="G171" t="s">
        <v>635</v>
      </c>
      <c r="H171" t="s">
        <v>636</v>
      </c>
      <c r="I171" s="1" t="s">
        <v>637</v>
      </c>
      <c r="J171" s="60" t="str" cm="1">
        <f t="array" aca="1" ref="J171" ca="1">_xlfn.XLOOKUP(Assignments[[#This Row],[Company ID]], INDIRECT("'"&amp;Assignments[[#This Row],[Coordinator]]&amp;"'!$B:$B"), INDIRECT("'"&amp;Assignments[[#This Row],[Coordinator]]&amp;"'!$J:$J"), "")</f>
        <v>Onboarding finalized after a short verification call this Wednesday. Every document is signed, dated, and on file. Ready for service assignment.</v>
      </c>
      <c r="K171" s="12" t="str" cm="1">
        <f t="array" aca="1" ref="K171" ca="1">_xlfn.XLOOKUP(Assignments[[#This Row],[Company ID]], INDIRECT("'"&amp;Assignments[[#This Row],[Coordinator]]&amp;"'!$B:$B"), INDIRECT("'"&amp;Assignments[[#This Row],[Coordinator]]&amp;"'!$K:$K"), "")</f>
        <v>Completion</v>
      </c>
      <c r="L171" s="12" t="b" cm="1">
        <f t="array" aca="1" ref="L171" ca="1">_xlfn.XLOOKUP(Assignments[[#This Row],[Company ID]], INDIRECT("'"&amp;Assignments[[#This Row],[Coordinator]]&amp;"'!$B:$B"), INDIRECT("'"&amp;Assignments[[#This Row],[Coordinator]]&amp;"'!$L:$L"), "")</f>
        <v>1</v>
      </c>
    </row>
    <row r="172" spans="1:12" ht="30" customHeight="1" x14ac:dyDescent="0.25">
      <c r="A172" t="s">
        <v>449</v>
      </c>
      <c r="B172" s="2">
        <v>518546</v>
      </c>
      <c r="C172" t="s">
        <v>638</v>
      </c>
      <c r="D172" s="1" t="s">
        <v>230</v>
      </c>
      <c r="E172" t="b">
        <v>0</v>
      </c>
      <c r="F172" s="5">
        <v>35500</v>
      </c>
      <c r="G172" t="s">
        <v>639</v>
      </c>
      <c r="H172" t="s">
        <v>640</v>
      </c>
      <c r="I172" s="1" t="s">
        <v>641</v>
      </c>
      <c r="J172" s="60" t="str" cm="1">
        <f t="array" aca="1" ref="J172" ca="1">_xlfn.XLOOKUP(Assignments[[#This Row],[Company ID]], INDIRECT("'"&amp;Assignments[[#This Row],[Coordinator]]&amp;"'!$B:$B"), INDIRECT("'"&amp;Assignments[[#This Row],[Coordinator]]&amp;"'!$J:$J"), "")</f>
        <v>Contact delivered the Spend authorization ahead of the deadline, completing the packet. Coverage and W-9 details confirmed current. Cleared for daily operations support.</v>
      </c>
      <c r="K172" s="12" t="str" cm="1">
        <f t="array" aca="1" ref="K172" ca="1">_xlfn.XLOOKUP(Assignments[[#This Row],[Company ID]], INDIRECT("'"&amp;Assignments[[#This Row],[Coordinator]]&amp;"'!$B:$B"), INDIRECT("'"&amp;Assignments[[#This Row],[Coordinator]]&amp;"'!$K:$K"), "")</f>
        <v>Completion</v>
      </c>
      <c r="L172" s="12" t="b" cm="1">
        <f t="array" aca="1" ref="L172" ca="1">_xlfn.XLOOKUP(Assignments[[#This Row],[Company ID]], INDIRECT("'"&amp;Assignments[[#This Row],[Coordinator]]&amp;"'!$B:$B"), INDIRECT("'"&amp;Assignments[[#This Row],[Coordinator]]&amp;"'!$L:$L"), "")</f>
        <v>1</v>
      </c>
    </row>
    <row r="173" spans="1:12" ht="30" customHeight="1" x14ac:dyDescent="0.25">
      <c r="A173" t="s">
        <v>449</v>
      </c>
      <c r="B173" s="2">
        <v>811599</v>
      </c>
      <c r="C173" t="s">
        <v>642</v>
      </c>
      <c r="D173" s="1" t="s">
        <v>230</v>
      </c>
      <c r="E173" t="b">
        <v>0</v>
      </c>
      <c r="F173" s="5">
        <v>4800</v>
      </c>
      <c r="G173" t="s">
        <v>643</v>
      </c>
      <c r="H173" t="s">
        <v>644</v>
      </c>
      <c r="I173" s="1" t="s">
        <v>645</v>
      </c>
      <c r="J173" s="60" t="str" cm="1">
        <f t="array" aca="1" ref="J173" ca="1">_xlfn.XLOOKUP(Assignments[[#This Row],[Company ID]], INDIRECT("'"&amp;Assignments[[#This Row],[Coordinator]]&amp;"'!$B:$B"), INDIRECT("'"&amp;Assignments[[#This Row],[Coordinator]]&amp;"'!$J:$J"), "")</f>
        <v>Documents delayed — an internal signature backlog on the vendor's side. Contact confirmed the item is in progress. Monitoring and following up Tuesday.</v>
      </c>
      <c r="K173" s="12" t="str" cm="1">
        <f t="array" aca="1" ref="K173" ca="1">_xlfn.XLOOKUP(Assignments[[#This Row],[Company ID]], INDIRECT("'"&amp;Assignments[[#This Row],[Coordinator]]&amp;"'!$B:$B"), INDIRECT("'"&amp;Assignments[[#This Row],[Coordinator]]&amp;"'!$K:$K"), "")</f>
        <v>Delayed</v>
      </c>
      <c r="L173" s="12" t="b" cm="1">
        <f t="array" aca="1" ref="L173" ca="1">_xlfn.XLOOKUP(Assignments[[#This Row],[Company ID]], INDIRECT("'"&amp;Assignments[[#This Row],[Coordinator]]&amp;"'!$B:$B"), INDIRECT("'"&amp;Assignments[[#This Row],[Coordinator]]&amp;"'!$L:$L"), "")</f>
        <v>0</v>
      </c>
    </row>
    <row r="174" spans="1:12" ht="30" customHeight="1" x14ac:dyDescent="0.25">
      <c r="A174" t="s">
        <v>449</v>
      </c>
      <c r="B174" s="2">
        <v>910625</v>
      </c>
      <c r="C174" t="s">
        <v>646</v>
      </c>
      <c r="D174" s="1" t="s">
        <v>647</v>
      </c>
      <c r="E174" t="b">
        <v>0</v>
      </c>
      <c r="F174" s="5">
        <v>20000</v>
      </c>
      <c r="G174" t="s">
        <v>648</v>
      </c>
      <c r="H174" t="s">
        <v>649</v>
      </c>
      <c r="I174" s="1" t="s">
        <v>650</v>
      </c>
      <c r="J174" s="60" t="str" cm="1">
        <f t="array" aca="1" ref="J174" ca="1">_xlfn.XLOOKUP(Assignments[[#This Row],[Company ID]], INDIRECT("'"&amp;Assignments[[#This Row],[Coordinator]]&amp;"'!$B:$B"), INDIRECT("'"&amp;Assignments[[#This Row],[Coordinator]]&amp;"'!$J:$J"), "")</f>
        <v>The w-9 received and verified; the Spend authorization and the COI still outstanding. Contact confirmed the remainder will be submitted by Thursday. Following up then.</v>
      </c>
      <c r="K174" s="12" t="str" cm="1">
        <f t="array" aca="1" ref="K174" ca="1">_xlfn.XLOOKUP(Assignments[[#This Row],[Company ID]], INDIRECT("'"&amp;Assignments[[#This Row],[Coordinator]]&amp;"'!$B:$B"), INDIRECT("'"&amp;Assignments[[#This Row],[Coordinator]]&amp;"'!$K:$K"), "")</f>
        <v>Received</v>
      </c>
      <c r="L174" s="12" t="str" cm="1">
        <f t="array" aca="1" ref="L174" ca="1">_xlfn.XLOOKUP(Assignments[[#This Row],[Company ID]], INDIRECT("'"&amp;Assignments[[#This Row],[Coordinator]]&amp;"'!$B:$B"), INDIRECT("'"&amp;Assignments[[#This Row],[Coordinator]]&amp;"'!$L:$L"), "")</f>
        <v>RECEIVED</v>
      </c>
    </row>
    <row r="175" spans="1:12" ht="30" customHeight="1" x14ac:dyDescent="0.25">
      <c r="A175" t="s">
        <v>449</v>
      </c>
      <c r="B175" s="2">
        <v>648632</v>
      </c>
      <c r="C175" t="s">
        <v>651</v>
      </c>
      <c r="D175" s="1" t="s">
        <v>647</v>
      </c>
      <c r="E175" t="b">
        <v>0</v>
      </c>
      <c r="F175" s="5">
        <v>33800</v>
      </c>
      <c r="G175" t="s">
        <v>652</v>
      </c>
      <c r="H175" t="s">
        <v>653</v>
      </c>
      <c r="I175" s="1" t="s">
        <v>654</v>
      </c>
      <c r="J175" s="60" t="str" cm="1">
        <f t="array" aca="1" ref="J175" ca="1">_xlfn.XLOOKUP(Assignments[[#This Row],[Company ID]], INDIRECT("'"&amp;Assignments[[#This Row],[Coordinator]]&amp;"'!$B:$B"), INDIRECT("'"&amp;Assignments[[#This Row],[Coordinator]]&amp;"'!$J:$J"), "")</f>
        <v>Contact unresponsive to the last several messages, and the voicemail box is full. Requesting an alternate point of contact from the vendor. Noted for escalation.</v>
      </c>
      <c r="K175" s="12" t="str" cm="1">
        <f t="array" aca="1" ref="K175" ca="1">_xlfn.XLOOKUP(Assignments[[#This Row],[Company ID]], INDIRECT("'"&amp;Assignments[[#This Row],[Coordinator]]&amp;"'!$B:$B"), INDIRECT("'"&amp;Assignments[[#This Row],[Coordinator]]&amp;"'!$K:$K"), "")</f>
        <v>Poor Communication</v>
      </c>
      <c r="L175" s="12" t="b" cm="1">
        <f t="array" aca="1" ref="L175" ca="1">_xlfn.XLOOKUP(Assignments[[#This Row],[Company ID]], INDIRECT("'"&amp;Assignments[[#This Row],[Coordinator]]&amp;"'!$B:$B"), INDIRECT("'"&amp;Assignments[[#This Row],[Coordinator]]&amp;"'!$L:$L"), "")</f>
        <v>0</v>
      </c>
    </row>
    <row r="176" spans="1:12" ht="30" customHeight="1" x14ac:dyDescent="0.25">
      <c r="A176" t="s">
        <v>449</v>
      </c>
      <c r="B176" s="2">
        <v>802287</v>
      </c>
      <c r="C176" t="s">
        <v>655</v>
      </c>
      <c r="D176" s="1" t="s">
        <v>647</v>
      </c>
      <c r="E176" t="b">
        <v>0</v>
      </c>
      <c r="F176" s="5">
        <v>18900</v>
      </c>
      <c r="G176" t="s">
        <v>656</v>
      </c>
      <c r="H176" t="s">
        <v>657</v>
      </c>
      <c r="I176" s="1" t="s">
        <v>658</v>
      </c>
      <c r="J176" s="60" t="str" cm="1">
        <f t="array" aca="1" ref="J176" ca="1">_xlfn.XLOOKUP(Assignments[[#This Row],[Company ID]], INDIRECT("'"&amp;Assignments[[#This Row],[Coordinator]]&amp;"'!$B:$B"), INDIRECT("'"&amp;Assignments[[#This Row],[Coordinator]]&amp;"'!$J:$J"), "")</f>
        <v>The coi is delayed due to an unexpected staffing gap after the contact went on leave. A short extension was granted and acknowledged. Will re-check status by Friday.</v>
      </c>
      <c r="K176" s="12" t="str" cm="1">
        <f t="array" aca="1" ref="K176" ca="1">_xlfn.XLOOKUP(Assignments[[#This Row],[Company ID]], INDIRECT("'"&amp;Assignments[[#This Row],[Coordinator]]&amp;"'!$B:$B"), INDIRECT("'"&amp;Assignments[[#This Row],[Coordinator]]&amp;"'!$K:$K"), "")</f>
        <v>Delayed</v>
      </c>
      <c r="L176" s="12" t="b" cm="1">
        <f t="array" aca="1" ref="L176" ca="1">_xlfn.XLOOKUP(Assignments[[#This Row],[Company ID]], INDIRECT("'"&amp;Assignments[[#This Row],[Coordinator]]&amp;"'!$B:$B"), INDIRECT("'"&amp;Assignments[[#This Row],[Coordinator]]&amp;"'!$L:$L"), "")</f>
        <v>0</v>
      </c>
    </row>
    <row r="177" spans="1:12" ht="30" customHeight="1" x14ac:dyDescent="0.25">
      <c r="A177" t="s">
        <v>659</v>
      </c>
      <c r="B177" s="2">
        <v>114818</v>
      </c>
      <c r="C177" t="s">
        <v>660</v>
      </c>
      <c r="D177" s="1" t="s">
        <v>28</v>
      </c>
      <c r="E177" t="b">
        <v>1</v>
      </c>
      <c r="F177" s="5">
        <v>90800</v>
      </c>
      <c r="G177" t="s">
        <v>661</v>
      </c>
      <c r="H177" t="s">
        <v>662</v>
      </c>
      <c r="I177" s="1" t="s">
        <v>663</v>
      </c>
      <c r="J177" s="60" t="str" cm="1">
        <f t="array" aca="1" ref="J177" ca="1">_xlfn.XLOOKUP(Assignments[[#This Row],[Company ID]], INDIRECT("'"&amp;Assignments[[#This Row],[Coordinator]]&amp;"'!$B:$B"), INDIRECT("'"&amp;Assignments[[#This Row],[Coordinator]]&amp;"'!$J:$J"), "")</f>
        <v>All onboarding documents — COI, W-9, and Spend authorization — are received and verified, with the Spend authorization arriving last. Compliance review passed with no exceptions. Vendor is fully onboarded and cleared for service.</v>
      </c>
      <c r="K177" s="12" t="str" cm="1">
        <f t="array" aca="1" ref="K177" ca="1">_xlfn.XLOOKUP(Assignments[[#This Row],[Company ID]], INDIRECT("'"&amp;Assignments[[#This Row],[Coordinator]]&amp;"'!$B:$B"), INDIRECT("'"&amp;Assignments[[#This Row],[Coordinator]]&amp;"'!$K:$K"), "")</f>
        <v>Completion</v>
      </c>
      <c r="L177" s="12" t="b" cm="1">
        <f t="array" aca="1" ref="L177" ca="1">_xlfn.XLOOKUP(Assignments[[#This Row],[Company ID]], INDIRECT("'"&amp;Assignments[[#This Row],[Coordinator]]&amp;"'!$B:$B"), INDIRECT("'"&amp;Assignments[[#This Row],[Coordinator]]&amp;"'!$L:$L"), "")</f>
        <v>1</v>
      </c>
    </row>
    <row r="178" spans="1:12" ht="30" customHeight="1" x14ac:dyDescent="0.25">
      <c r="A178" t="s">
        <v>659</v>
      </c>
      <c r="B178" s="2">
        <v>304038</v>
      </c>
      <c r="C178" t="s">
        <v>664</v>
      </c>
      <c r="D178" s="1" t="s">
        <v>61</v>
      </c>
      <c r="E178" t="b">
        <v>1</v>
      </c>
      <c r="F178" s="5">
        <v>136200</v>
      </c>
      <c r="G178" t="s">
        <v>665</v>
      </c>
      <c r="H178" t="s">
        <v>666</v>
      </c>
      <c r="I178" s="1" t="s">
        <v>667</v>
      </c>
      <c r="J178" s="60" t="str" cm="1">
        <f t="array" aca="1" ref="J178" ca="1">_xlfn.XLOOKUP(Assignments[[#This Row],[Company ID]], INDIRECT("'"&amp;Assignments[[#This Row],[Coordinator]]&amp;"'!$B:$B"), INDIRECT("'"&amp;Assignments[[#This Row],[Coordinator]]&amp;"'!$J:$J"), "")</f>
        <v>Contact delivered the COI ahead of the deadline, completing the packet. Coverage and W-9 details confirmed current. Cleared for daily operations support.</v>
      </c>
      <c r="K178" s="12" t="str" cm="1">
        <f t="array" aca="1" ref="K178" ca="1">_xlfn.XLOOKUP(Assignments[[#This Row],[Company ID]], INDIRECT("'"&amp;Assignments[[#This Row],[Coordinator]]&amp;"'!$B:$B"), INDIRECT("'"&amp;Assignments[[#This Row],[Coordinator]]&amp;"'!$K:$K"), "")</f>
        <v>Completion</v>
      </c>
      <c r="L178" s="12" t="b" cm="1">
        <f t="array" aca="1" ref="L178" ca="1">_xlfn.XLOOKUP(Assignments[[#This Row],[Company ID]], INDIRECT("'"&amp;Assignments[[#This Row],[Coordinator]]&amp;"'!$B:$B"), INDIRECT("'"&amp;Assignments[[#This Row],[Coordinator]]&amp;"'!$L:$L"), "")</f>
        <v>1</v>
      </c>
    </row>
    <row r="179" spans="1:12" ht="30" customHeight="1" x14ac:dyDescent="0.25">
      <c r="A179" t="s">
        <v>659</v>
      </c>
      <c r="B179" s="2">
        <v>796864</v>
      </c>
      <c r="C179" t="s">
        <v>668</v>
      </c>
      <c r="D179" s="1" t="s">
        <v>61</v>
      </c>
      <c r="E179" t="b">
        <v>1</v>
      </c>
      <c r="F179" s="5">
        <v>214700</v>
      </c>
      <c r="G179" t="s">
        <v>669</v>
      </c>
      <c r="H179" t="s">
        <v>670</v>
      </c>
      <c r="I179" s="1" t="s">
        <v>671</v>
      </c>
      <c r="J179" s="60" t="str" cm="1">
        <f t="array" aca="1" ref="J179" ca="1">_xlfn.XLOOKUP(Assignments[[#This Row],[Company ID]], INDIRECT("'"&amp;Assignments[[#This Row],[Coordinator]]&amp;"'!$B:$B"), INDIRECT("'"&amp;Assignments[[#This Row],[Coordinator]]&amp;"'!$J:$J"), "")</f>
        <v>Submission of the W-9 stalled because of an internal signature backlog on the vendor's side. Contact remains responsive despite the holdup. Re-checking Wednesday.</v>
      </c>
      <c r="K179" s="12" t="str" cm="1">
        <f t="array" aca="1" ref="K179" ca="1">_xlfn.XLOOKUP(Assignments[[#This Row],[Company ID]], INDIRECT("'"&amp;Assignments[[#This Row],[Coordinator]]&amp;"'!$B:$B"), INDIRECT("'"&amp;Assignments[[#This Row],[Coordinator]]&amp;"'!$K:$K"), "")</f>
        <v>Delayed</v>
      </c>
      <c r="L179" s="12" t="b" cm="1">
        <f t="array" aca="1" ref="L179" ca="1">_xlfn.XLOOKUP(Assignments[[#This Row],[Company ID]], INDIRECT("'"&amp;Assignments[[#This Row],[Coordinator]]&amp;"'!$B:$B"), INDIRECT("'"&amp;Assignments[[#This Row],[Coordinator]]&amp;"'!$L:$L"), "")</f>
        <v>0</v>
      </c>
    </row>
    <row r="180" spans="1:12" ht="30" customHeight="1" x14ac:dyDescent="0.25">
      <c r="A180" t="s">
        <v>659</v>
      </c>
      <c r="B180" s="2">
        <v>372745</v>
      </c>
      <c r="C180" t="s">
        <v>672</v>
      </c>
      <c r="D180" s="1" t="s">
        <v>118</v>
      </c>
      <c r="E180" t="b">
        <v>1</v>
      </c>
      <c r="F180" s="5">
        <v>56000</v>
      </c>
      <c r="G180" t="s">
        <v>673</v>
      </c>
      <c r="H180" t="s">
        <v>674</v>
      </c>
      <c r="I180" s="1" t="s">
        <v>675</v>
      </c>
      <c r="J180" s="60" t="str" cm="1">
        <f t="array" aca="1" ref="J180" ca="1">_xlfn.XLOOKUP(Assignments[[#This Row],[Company ID]], INDIRECT("'"&amp;Assignments[[#This Row],[Coordinator]]&amp;"'!$B:$B"), INDIRECT("'"&amp;Assignments[[#This Row],[Coordinator]]&amp;"'!$J:$J"), "")</f>
        <v>The spend authorization is delayed due to a vendor-side system migration that temporarily locked their files. A short extension was granted and acknowledged. Will re-check status by Monday.</v>
      </c>
      <c r="K180" s="12" t="str" cm="1">
        <f t="array" aca="1" ref="K180" ca="1">_xlfn.XLOOKUP(Assignments[[#This Row],[Company ID]], INDIRECT("'"&amp;Assignments[[#This Row],[Coordinator]]&amp;"'!$B:$B"), INDIRECT("'"&amp;Assignments[[#This Row],[Coordinator]]&amp;"'!$K:$K"), "")</f>
        <v>Delayed</v>
      </c>
      <c r="L180" s="12" t="b" cm="1">
        <f t="array" aca="1" ref="L180" ca="1">_xlfn.XLOOKUP(Assignments[[#This Row],[Company ID]], INDIRECT("'"&amp;Assignments[[#This Row],[Coordinator]]&amp;"'!$B:$B"), INDIRECT("'"&amp;Assignments[[#This Row],[Coordinator]]&amp;"'!$L:$L"), "")</f>
        <v>0</v>
      </c>
    </row>
    <row r="181" spans="1:12" ht="30" customHeight="1" x14ac:dyDescent="0.25">
      <c r="A181" t="s">
        <v>659</v>
      </c>
      <c r="B181" s="2">
        <v>306251</v>
      </c>
      <c r="C181" t="s">
        <v>676</v>
      </c>
      <c r="D181" s="1" t="s">
        <v>160</v>
      </c>
      <c r="E181" t="b">
        <v>1</v>
      </c>
      <c r="F181" s="5">
        <v>12000</v>
      </c>
      <c r="G181" t="s">
        <v>677</v>
      </c>
      <c r="H181" t="s">
        <v>678</v>
      </c>
      <c r="I181" s="1" t="s">
        <v>679</v>
      </c>
      <c r="J181" s="60" t="str" cm="1">
        <f t="array" aca="1" ref="J181" ca="1">_xlfn.XLOOKUP(Assignments[[#This Row],[Company ID]], INDIRECT("'"&amp;Assignments[[#This Row],[Coordinator]]&amp;"'!$B:$B"), INDIRECT("'"&amp;Assignments[[#This Row],[Coordinator]]&amp;"'!$J:$J"), "")</f>
        <v>Contact guaranteed the outstanding W-9 by close of business. Other documents are accepted and validated. Will confirm and complete EOD.</v>
      </c>
      <c r="K181" s="12" t="str" cm="1">
        <f t="array" aca="1" ref="K181" ca="1">_xlfn.XLOOKUP(Assignments[[#This Row],[Company ID]], INDIRECT("'"&amp;Assignments[[#This Row],[Coordinator]]&amp;"'!$B:$B"), INDIRECT("'"&amp;Assignments[[#This Row],[Coordinator]]&amp;"'!$K:$K"), "")</f>
        <v>Delayed – EOD</v>
      </c>
      <c r="L181" s="12" t="b" cm="1">
        <f t="array" aca="1" ref="L181" ca="1">_xlfn.XLOOKUP(Assignments[[#This Row],[Company ID]], INDIRECT("'"&amp;Assignments[[#This Row],[Coordinator]]&amp;"'!$B:$B"), INDIRECT("'"&amp;Assignments[[#This Row],[Coordinator]]&amp;"'!$L:$L"), "")</f>
        <v>0</v>
      </c>
    </row>
    <row r="182" spans="1:12" ht="30" customHeight="1" x14ac:dyDescent="0.25">
      <c r="A182" t="s">
        <v>659</v>
      </c>
      <c r="B182" s="2">
        <v>636685</v>
      </c>
      <c r="C182" t="s">
        <v>680</v>
      </c>
      <c r="D182" s="1" t="s">
        <v>185</v>
      </c>
      <c r="E182" t="b">
        <v>1</v>
      </c>
      <c r="F182" s="5">
        <v>313400</v>
      </c>
      <c r="G182" t="s">
        <v>681</v>
      </c>
      <c r="H182" t="s">
        <v>682</v>
      </c>
      <c r="I182" s="1" t="s">
        <v>683</v>
      </c>
      <c r="J182" s="60" t="str" cm="1">
        <f t="array" aca="1" ref="J182" ca="1">_xlfn.XLOOKUP(Assignments[[#This Row],[Company ID]], INDIRECT("'"&amp;Assignments[[#This Row],[Coordinator]]&amp;"'!$B:$B"), INDIRECT("'"&amp;Assignments[[#This Row],[Coordinator]]&amp;"'!$J:$J"), "")</f>
        <v>The spend authorization is running late; contact promised delivery by close of business. Everything else has cleared review. Following up this afternoon.</v>
      </c>
      <c r="K182" s="12" t="str" cm="1">
        <f t="array" aca="1" ref="K182" ca="1">_xlfn.XLOOKUP(Assignments[[#This Row],[Company ID]], INDIRECT("'"&amp;Assignments[[#This Row],[Coordinator]]&amp;"'!$B:$B"), INDIRECT("'"&amp;Assignments[[#This Row],[Coordinator]]&amp;"'!$K:$K"), "")</f>
        <v>Delayed – EOD</v>
      </c>
      <c r="L182" s="12" t="b" cm="1">
        <f t="array" aca="1" ref="L182" ca="1">_xlfn.XLOOKUP(Assignments[[#This Row],[Company ID]], INDIRECT("'"&amp;Assignments[[#This Row],[Coordinator]]&amp;"'!$B:$B"), INDIRECT("'"&amp;Assignments[[#This Row],[Coordinator]]&amp;"'!$L:$L"), "")</f>
        <v>0</v>
      </c>
    </row>
    <row r="183" spans="1:12" ht="30" customHeight="1" x14ac:dyDescent="0.25">
      <c r="A183" t="s">
        <v>659</v>
      </c>
      <c r="B183" s="2">
        <v>614883</v>
      </c>
      <c r="C183" t="s">
        <v>684</v>
      </c>
      <c r="D183" s="1" t="s">
        <v>185</v>
      </c>
      <c r="E183" t="b">
        <v>1</v>
      </c>
      <c r="F183" s="5">
        <v>498000</v>
      </c>
      <c r="G183" t="s">
        <v>685</v>
      </c>
      <c r="H183" t="s">
        <v>686</v>
      </c>
      <c r="I183" s="1" t="s">
        <v>687</v>
      </c>
      <c r="J183" s="60" t="str" cm="1">
        <f t="array" aca="1" ref="J183" ca="1">_xlfn.XLOOKUP(Assignments[[#This Row],[Company ID]], INDIRECT("'"&amp;Assignments[[#This Row],[Coordinator]]&amp;"'!$B:$B"), INDIRECT("'"&amp;Assignments[[#This Row],[Coordinator]]&amp;"'!$J:$J"), "")</f>
        <v>All three required documents were approved on first pass, the W-9 included. The Certificate of Insurance names the arena as additional insured, as required. Vendor is good to go.</v>
      </c>
      <c r="K183" s="12" t="str" cm="1">
        <f t="array" aca="1" ref="K183" ca="1">_xlfn.XLOOKUP(Assignments[[#This Row],[Company ID]], INDIRECT("'"&amp;Assignments[[#This Row],[Coordinator]]&amp;"'!$B:$B"), INDIRECT("'"&amp;Assignments[[#This Row],[Coordinator]]&amp;"'!$K:$K"), "")</f>
        <v>Completion</v>
      </c>
      <c r="L183" s="12" t="b" cm="1">
        <f t="array" aca="1" ref="L183" ca="1">_xlfn.XLOOKUP(Assignments[[#This Row],[Company ID]], INDIRECT("'"&amp;Assignments[[#This Row],[Coordinator]]&amp;"'!$B:$B"), INDIRECT("'"&amp;Assignments[[#This Row],[Coordinator]]&amp;"'!$L:$L"), "")</f>
        <v>1</v>
      </c>
    </row>
    <row r="184" spans="1:12" ht="30" customHeight="1" x14ac:dyDescent="0.25">
      <c r="A184" t="s">
        <v>659</v>
      </c>
      <c r="B184" s="2">
        <v>882206</v>
      </c>
      <c r="C184" t="s">
        <v>688</v>
      </c>
      <c r="D184" s="1" t="s">
        <v>206</v>
      </c>
      <c r="E184" t="b">
        <v>0</v>
      </c>
      <c r="F184" s="5">
        <v>138200</v>
      </c>
      <c r="G184" t="s">
        <v>689</v>
      </c>
      <c r="H184" t="s">
        <v>690</v>
      </c>
      <c r="I184" s="1" t="s">
        <v>691</v>
      </c>
      <c r="J184" s="60" t="str" cm="1">
        <f t="array" aca="1" ref="J184" ca="1">_xlfn.XLOOKUP(Assignments[[#This Row],[Company ID]], INDIRECT("'"&amp;Assignments[[#This Row],[Coordinator]]&amp;"'!$B:$B"), INDIRECT("'"&amp;Assignments[[#This Row],[Coordinator]]&amp;"'!$J:$J"), "")</f>
        <v>Partial packet in — the Spend authorization on file and within requirements. Awaiting the COI and the W-9 from the vendor's team. Reminder set for Tuesday.</v>
      </c>
      <c r="K184" s="12" t="str" cm="1">
        <f t="array" aca="1" ref="K184" ca="1">_xlfn.XLOOKUP(Assignments[[#This Row],[Company ID]], INDIRECT("'"&amp;Assignments[[#This Row],[Coordinator]]&amp;"'!$B:$B"), INDIRECT("'"&amp;Assignments[[#This Row],[Coordinator]]&amp;"'!$K:$K"), "")</f>
        <v>Received</v>
      </c>
      <c r="L184" s="12" t="str" cm="1">
        <f t="array" aca="1" ref="L184" ca="1">_xlfn.XLOOKUP(Assignments[[#This Row],[Company ID]], INDIRECT("'"&amp;Assignments[[#This Row],[Coordinator]]&amp;"'!$B:$B"), INDIRECT("'"&amp;Assignments[[#This Row],[Coordinator]]&amp;"'!$L:$L"), "")</f>
        <v>RECEIVED</v>
      </c>
    </row>
    <row r="185" spans="1:12" ht="30" customHeight="1" x14ac:dyDescent="0.25">
      <c r="A185" t="s">
        <v>659</v>
      </c>
      <c r="B185" s="2">
        <v>715011</v>
      </c>
      <c r="C185" t="s">
        <v>692</v>
      </c>
      <c r="D185" s="1" t="s">
        <v>211</v>
      </c>
      <c r="E185" t="b">
        <v>0</v>
      </c>
      <c r="F185" s="5">
        <v>68700</v>
      </c>
      <c r="G185" t="s">
        <v>693</v>
      </c>
      <c r="H185" t="s">
        <v>694</v>
      </c>
      <c r="I185" s="1" t="s">
        <v>695</v>
      </c>
      <c r="J185" s="60" t="str" cm="1">
        <f t="array" aca="1" ref="J185" ca="1">_xlfn.XLOOKUP(Assignments[[#This Row],[Company ID]], INDIRECT("'"&amp;Assignments[[#This Row],[Coordinator]]&amp;"'!$B:$B"), INDIRECT("'"&amp;Assignments[[#This Row],[Coordinator]]&amp;"'!$J:$J"), "")</f>
        <v>Contact uploaded the COI; the Spend authorization and the W-9 to follow once signed. Communication has been solid. Next check-in Friday.</v>
      </c>
      <c r="K185" s="12" t="str" cm="1">
        <f t="array" aca="1" ref="K185" ca="1">_xlfn.XLOOKUP(Assignments[[#This Row],[Company ID]], INDIRECT("'"&amp;Assignments[[#This Row],[Coordinator]]&amp;"'!$B:$B"), INDIRECT("'"&amp;Assignments[[#This Row],[Coordinator]]&amp;"'!$K:$K"), "")</f>
        <v>Received</v>
      </c>
      <c r="L185" s="12" t="str" cm="1">
        <f t="array" aca="1" ref="L185" ca="1">_xlfn.XLOOKUP(Assignments[[#This Row],[Company ID]], INDIRECT("'"&amp;Assignments[[#This Row],[Coordinator]]&amp;"'!$B:$B"), INDIRECT("'"&amp;Assignments[[#This Row],[Coordinator]]&amp;"'!$L:$L"), "")</f>
        <v>RECEIVED</v>
      </c>
    </row>
    <row r="186" spans="1:12" ht="30" customHeight="1" x14ac:dyDescent="0.25">
      <c r="A186" t="s">
        <v>659</v>
      </c>
      <c r="B186" s="2">
        <v>473960</v>
      </c>
      <c r="C186" t="s">
        <v>696</v>
      </c>
      <c r="D186" s="1" t="s">
        <v>211</v>
      </c>
      <c r="E186" t="b">
        <v>0</v>
      </c>
      <c r="F186" s="5">
        <v>104400</v>
      </c>
      <c r="G186" t="s">
        <v>327</v>
      </c>
      <c r="H186" t="s">
        <v>697</v>
      </c>
      <c r="I186" s="1" t="s">
        <v>698</v>
      </c>
      <c r="J186" s="60" t="str" cm="1">
        <f t="array" aca="1" ref="J186" ca="1">_xlfn.XLOOKUP(Assignments[[#This Row],[Company ID]], INDIRECT("'"&amp;Assignments[[#This Row],[Coordinator]]&amp;"'!$B:$B"), INDIRECT("'"&amp;Assignments[[#This Row],[Coordinator]]&amp;"'!$J:$J"), "")</f>
        <v>Awaiting the W-9, which the contact committed to sending by end of day. The rest of the packet is complete. EOD verification scheduled.</v>
      </c>
      <c r="K186" s="12" t="str" cm="1">
        <f t="array" aca="1" ref="K186" ca="1">_xlfn.XLOOKUP(Assignments[[#This Row],[Company ID]], INDIRECT("'"&amp;Assignments[[#This Row],[Coordinator]]&amp;"'!$B:$B"), INDIRECT("'"&amp;Assignments[[#This Row],[Coordinator]]&amp;"'!$K:$K"), "")</f>
        <v>Delayed – EOD</v>
      </c>
      <c r="L186" s="12" t="b" cm="1">
        <f t="array" aca="1" ref="L186" ca="1">_xlfn.XLOOKUP(Assignments[[#This Row],[Company ID]], INDIRECT("'"&amp;Assignments[[#This Row],[Coordinator]]&amp;"'!$B:$B"), INDIRECT("'"&amp;Assignments[[#This Row],[Coordinator]]&amp;"'!$L:$L"), "")</f>
        <v>0</v>
      </c>
    </row>
    <row r="187" spans="1:12" ht="30" customHeight="1" x14ac:dyDescent="0.25">
      <c r="A187" t="s">
        <v>659</v>
      </c>
      <c r="B187" s="2">
        <v>858237</v>
      </c>
      <c r="C187" t="s">
        <v>699</v>
      </c>
      <c r="D187" s="1" t="s">
        <v>211</v>
      </c>
      <c r="E187" t="b">
        <v>0</v>
      </c>
      <c r="F187" s="5">
        <v>124700</v>
      </c>
      <c r="G187" t="s">
        <v>700</v>
      </c>
      <c r="H187" t="s">
        <v>701</v>
      </c>
      <c r="I187" s="1" t="s">
        <v>702</v>
      </c>
      <c r="J187" s="60" t="str" cm="1">
        <f t="array" aca="1" ref="J187" ca="1">_xlfn.XLOOKUP(Assignments[[#This Row],[Company ID]], INDIRECT("'"&amp;Assignments[[#This Row],[Coordinator]]&amp;"'!$B:$B"), INDIRECT("'"&amp;Assignments[[#This Row],[Coordinator]]&amp;"'!$J:$J"), "")</f>
        <v>Awaiting the Spend authorization, which the contact committed to sending by end of day. The rest of the packet is complete. EOD verification scheduled.</v>
      </c>
      <c r="K187" s="12" t="str" cm="1">
        <f t="array" aca="1" ref="K187" ca="1">_xlfn.XLOOKUP(Assignments[[#This Row],[Company ID]], INDIRECT("'"&amp;Assignments[[#This Row],[Coordinator]]&amp;"'!$B:$B"), INDIRECT("'"&amp;Assignments[[#This Row],[Coordinator]]&amp;"'!$K:$K"), "")</f>
        <v>Delayed – EOD</v>
      </c>
      <c r="L187" s="12" t="b" cm="1">
        <f t="array" aca="1" ref="L187" ca="1">_xlfn.XLOOKUP(Assignments[[#This Row],[Company ID]], INDIRECT("'"&amp;Assignments[[#This Row],[Coordinator]]&amp;"'!$B:$B"), INDIRECT("'"&amp;Assignments[[#This Row],[Coordinator]]&amp;"'!$L:$L"), "")</f>
        <v>0</v>
      </c>
    </row>
    <row r="188" spans="1:12" ht="30" customHeight="1" x14ac:dyDescent="0.25">
      <c r="A188" t="s">
        <v>659</v>
      </c>
      <c r="B188" s="2">
        <v>406311</v>
      </c>
      <c r="C188" t="s">
        <v>703</v>
      </c>
      <c r="D188" s="1" t="s">
        <v>211</v>
      </c>
      <c r="E188" t="b">
        <v>0</v>
      </c>
      <c r="F188" s="5">
        <v>137500</v>
      </c>
      <c r="G188" t="s">
        <v>291</v>
      </c>
      <c r="H188" t="s">
        <v>704</v>
      </c>
      <c r="I188" s="1" t="s">
        <v>705</v>
      </c>
      <c r="J188" s="60" t="str" cm="1">
        <f t="array" aca="1" ref="J188" ca="1">_xlfn.XLOOKUP(Assignments[[#This Row],[Company ID]], INDIRECT("'"&amp;Assignments[[#This Row],[Coordinator]]&amp;"'!$B:$B"), INDIRECT("'"&amp;Assignments[[#This Row],[Coordinator]]&amp;"'!$J:$J"), "")</f>
        <v>Onboarding finalized after a short verification call this Tuesday. Every document is signed, dated, and on file. Ready for service assignment.</v>
      </c>
      <c r="K188" s="12" t="str" cm="1">
        <f t="array" aca="1" ref="K188" ca="1">_xlfn.XLOOKUP(Assignments[[#This Row],[Company ID]], INDIRECT("'"&amp;Assignments[[#This Row],[Coordinator]]&amp;"'!$B:$B"), INDIRECT("'"&amp;Assignments[[#This Row],[Coordinator]]&amp;"'!$K:$K"), "")</f>
        <v>Completion</v>
      </c>
      <c r="L188" s="12" t="b" cm="1">
        <f t="array" aca="1" ref="L188" ca="1">_xlfn.XLOOKUP(Assignments[[#This Row],[Company ID]], INDIRECT("'"&amp;Assignments[[#This Row],[Coordinator]]&amp;"'!$B:$B"), INDIRECT("'"&amp;Assignments[[#This Row],[Coordinator]]&amp;"'!$L:$L"), "")</f>
        <v>1</v>
      </c>
    </row>
    <row r="189" spans="1:12" ht="30" customHeight="1" x14ac:dyDescent="0.25">
      <c r="A189" t="s">
        <v>659</v>
      </c>
      <c r="B189" s="2">
        <v>517488</v>
      </c>
      <c r="C189" t="s">
        <v>706</v>
      </c>
      <c r="D189" s="1" t="s">
        <v>211</v>
      </c>
      <c r="E189" t="b">
        <v>0</v>
      </c>
      <c r="F189" s="5">
        <v>84700</v>
      </c>
      <c r="G189" t="s">
        <v>707</v>
      </c>
      <c r="H189" t="s">
        <v>708</v>
      </c>
      <c r="I189" s="1" t="s">
        <v>709</v>
      </c>
      <c r="J189" s="60" t="str" cm="1">
        <f t="array" aca="1" ref="J189" ca="1">_xlfn.XLOOKUP(Assignments[[#This Row],[Company ID]], INDIRECT("'"&amp;Assignments[[#This Row],[Coordinator]]&amp;"'!$B:$B"), INDIRECT("'"&amp;Assignments[[#This Row],[Coordinator]]&amp;"'!$J:$J"), "")</f>
        <v>Awaiting the W-9, which the contact committed to sending by end of day. The rest of the packet is complete. EOD verification scheduled.</v>
      </c>
      <c r="K189" s="12" t="str" cm="1">
        <f t="array" aca="1" ref="K189" ca="1">_xlfn.XLOOKUP(Assignments[[#This Row],[Company ID]], INDIRECT("'"&amp;Assignments[[#This Row],[Coordinator]]&amp;"'!$B:$B"), INDIRECT("'"&amp;Assignments[[#This Row],[Coordinator]]&amp;"'!$K:$K"), "")</f>
        <v>Delayed – EOD</v>
      </c>
      <c r="L189" s="12" t="b" cm="1">
        <f t="array" aca="1" ref="L189" ca="1">_xlfn.XLOOKUP(Assignments[[#This Row],[Company ID]], INDIRECT("'"&amp;Assignments[[#This Row],[Coordinator]]&amp;"'!$B:$B"), INDIRECT("'"&amp;Assignments[[#This Row],[Coordinator]]&amp;"'!$L:$L"), "")</f>
        <v>0</v>
      </c>
    </row>
    <row r="190" spans="1:12" ht="30" customHeight="1" x14ac:dyDescent="0.25">
      <c r="A190" t="s">
        <v>659</v>
      </c>
      <c r="B190" s="2">
        <v>650138</v>
      </c>
      <c r="C190" t="s">
        <v>710</v>
      </c>
      <c r="D190" s="1" t="s">
        <v>211</v>
      </c>
      <c r="E190" t="b">
        <v>0</v>
      </c>
      <c r="F190" s="5">
        <v>37800</v>
      </c>
      <c r="G190" t="s">
        <v>711</v>
      </c>
      <c r="H190" t="s">
        <v>712</v>
      </c>
      <c r="I190" s="1" t="s">
        <v>713</v>
      </c>
      <c r="J190" s="60" t="str" cm="1">
        <f t="array" aca="1" ref="J190" ca="1">_xlfn.XLOOKUP(Assignments[[#This Row],[Company ID]], INDIRECT("'"&amp;Assignments[[#This Row],[Coordinator]]&amp;"'!$B:$B"), INDIRECT("'"&amp;Assignments[[#This Row],[Coordinator]]&amp;"'!$J:$J"), "")</f>
        <v>Everything is in — the W-9 arrived this Wednesday and matched our records. Contact was proactive throughout. Onboarding complete.</v>
      </c>
      <c r="K190" s="12" t="str" cm="1">
        <f t="array" aca="1" ref="K190" ca="1">_xlfn.XLOOKUP(Assignments[[#This Row],[Company ID]], INDIRECT("'"&amp;Assignments[[#This Row],[Coordinator]]&amp;"'!$B:$B"), INDIRECT("'"&amp;Assignments[[#This Row],[Coordinator]]&amp;"'!$K:$K"), "")</f>
        <v>Completion</v>
      </c>
      <c r="L190" s="12" t="b" cm="1">
        <f t="array" aca="1" ref="L190" ca="1">_xlfn.XLOOKUP(Assignments[[#This Row],[Company ID]], INDIRECT("'"&amp;Assignments[[#This Row],[Coordinator]]&amp;"'!$B:$B"), INDIRECT("'"&amp;Assignments[[#This Row],[Coordinator]]&amp;"'!$L:$L"), "")</f>
        <v>1</v>
      </c>
    </row>
    <row r="191" spans="1:12" ht="30" customHeight="1" x14ac:dyDescent="0.25">
      <c r="A191" t="s">
        <v>659</v>
      </c>
      <c r="B191" s="2">
        <v>605532</v>
      </c>
      <c r="C191" t="s">
        <v>714</v>
      </c>
      <c r="D191" s="1" t="s">
        <v>211</v>
      </c>
      <c r="E191" t="b">
        <v>0</v>
      </c>
      <c r="F191" s="5">
        <v>63200</v>
      </c>
      <c r="G191" t="s">
        <v>715</v>
      </c>
      <c r="H191" t="s">
        <v>716</v>
      </c>
      <c r="I191" s="1" t="s">
        <v>717</v>
      </c>
      <c r="J191" s="60" t="str" cm="1">
        <f t="array" aca="1" ref="J191" ca="1">_xlfn.XLOOKUP(Assignments[[#This Row],[Company ID]], INDIRECT("'"&amp;Assignments[[#This Row],[Coordinator]]&amp;"'!$B:$B"), INDIRECT("'"&amp;Assignments[[#This Row],[Coordinator]]&amp;"'!$J:$J"), "")</f>
        <v>Full document set received and reconciled against the master vendor record; the COI needed a quick correction, now resolved. No further discrepancies found. Onboarding officially complete.</v>
      </c>
      <c r="K191" s="12" t="str" cm="1">
        <f t="array" aca="1" ref="K191" ca="1">_xlfn.XLOOKUP(Assignments[[#This Row],[Company ID]], INDIRECT("'"&amp;Assignments[[#This Row],[Coordinator]]&amp;"'!$B:$B"), INDIRECT("'"&amp;Assignments[[#This Row],[Coordinator]]&amp;"'!$K:$K"), "")</f>
        <v>Completion</v>
      </c>
      <c r="L191" s="12" t="b" cm="1">
        <f t="array" aca="1" ref="L191" ca="1">_xlfn.XLOOKUP(Assignments[[#This Row],[Company ID]], INDIRECT("'"&amp;Assignments[[#This Row],[Coordinator]]&amp;"'!$B:$B"), INDIRECT("'"&amp;Assignments[[#This Row],[Coordinator]]&amp;"'!$L:$L"), "")</f>
        <v>1</v>
      </c>
    </row>
    <row r="192" spans="1:12" ht="30" customHeight="1" x14ac:dyDescent="0.25">
      <c r="A192" t="s">
        <v>659</v>
      </c>
      <c r="B192" s="2">
        <v>632364</v>
      </c>
      <c r="C192" t="s">
        <v>718</v>
      </c>
      <c r="D192" s="1" t="s">
        <v>211</v>
      </c>
      <c r="E192" t="b">
        <v>0</v>
      </c>
      <c r="F192" s="5">
        <v>16900</v>
      </c>
      <c r="G192" t="s">
        <v>719</v>
      </c>
      <c r="H192" t="s">
        <v>720</v>
      </c>
      <c r="I192" s="1" t="s">
        <v>721</v>
      </c>
      <c r="J192" s="60" t="str" cm="1">
        <f t="array" aca="1" ref="J192" ca="1">_xlfn.XLOOKUP(Assignments[[#This Row],[Company ID]], INDIRECT("'"&amp;Assignments[[#This Row],[Coordinator]]&amp;"'!$B:$B"), INDIRECT("'"&amp;Assignments[[#This Row],[Coordinator]]&amp;"'!$J:$J"), "")</f>
        <v>Full document set received and reconciled against the master vendor record; the W-9 needed a quick correction, now resolved. No further discrepancies found. Onboarding officially complete.</v>
      </c>
      <c r="K192" s="12" t="str" cm="1">
        <f t="array" aca="1" ref="K192" ca="1">_xlfn.XLOOKUP(Assignments[[#This Row],[Company ID]], INDIRECT("'"&amp;Assignments[[#This Row],[Coordinator]]&amp;"'!$B:$B"), INDIRECT("'"&amp;Assignments[[#This Row],[Coordinator]]&amp;"'!$K:$K"), "")</f>
        <v>Completion</v>
      </c>
      <c r="L192" s="12" t="b" cm="1">
        <f t="array" aca="1" ref="L192" ca="1">_xlfn.XLOOKUP(Assignments[[#This Row],[Company ID]], INDIRECT("'"&amp;Assignments[[#This Row],[Coordinator]]&amp;"'!$B:$B"), INDIRECT("'"&amp;Assignments[[#This Row],[Coordinator]]&amp;"'!$L:$L"), "")</f>
        <v>1</v>
      </c>
    </row>
    <row r="193" spans="1:12" ht="30" customHeight="1" x14ac:dyDescent="0.25">
      <c r="A193" t="s">
        <v>659</v>
      </c>
      <c r="B193" s="2">
        <v>376240</v>
      </c>
      <c r="C193" t="s">
        <v>722</v>
      </c>
      <c r="D193" s="1" t="s">
        <v>211</v>
      </c>
      <c r="E193" t="b">
        <v>0</v>
      </c>
      <c r="F193" s="5">
        <v>136100</v>
      </c>
      <c r="G193" t="s">
        <v>723</v>
      </c>
      <c r="H193" t="s">
        <v>724</v>
      </c>
      <c r="I193" s="1" t="s">
        <v>725</v>
      </c>
      <c r="J193" s="60" t="str" cm="1">
        <f t="array" aca="1" ref="J193" ca="1">_xlfn.XLOOKUP(Assignments[[#This Row],[Company ID]], INDIRECT("'"&amp;Assignments[[#This Row],[Coordinator]]&amp;"'!$B:$B"), INDIRECT("'"&amp;Assignments[[#This Row],[Coordinator]]&amp;"'!$J:$J"), "")</f>
        <v>Full document set received and reconciled against the master vendor record; the COI needed a quick correction, now resolved. No further discrepancies found. Onboarding officially complete.</v>
      </c>
      <c r="K193" s="12" t="str" cm="1">
        <f t="array" aca="1" ref="K193" ca="1">_xlfn.XLOOKUP(Assignments[[#This Row],[Company ID]], INDIRECT("'"&amp;Assignments[[#This Row],[Coordinator]]&amp;"'!$B:$B"), INDIRECT("'"&amp;Assignments[[#This Row],[Coordinator]]&amp;"'!$K:$K"), "")</f>
        <v>Completion</v>
      </c>
      <c r="L193" s="12" t="b" cm="1">
        <f t="array" aca="1" ref="L193" ca="1">_xlfn.XLOOKUP(Assignments[[#This Row],[Company ID]], INDIRECT("'"&amp;Assignments[[#This Row],[Coordinator]]&amp;"'!$B:$B"), INDIRECT("'"&amp;Assignments[[#This Row],[Coordinator]]&amp;"'!$L:$L"), "")</f>
        <v>1</v>
      </c>
    </row>
    <row r="194" spans="1:12" ht="30" customHeight="1" x14ac:dyDescent="0.25">
      <c r="A194" t="s">
        <v>659</v>
      </c>
      <c r="B194" s="2">
        <v>629238</v>
      </c>
      <c r="C194" t="s">
        <v>726</v>
      </c>
      <c r="D194" s="1" t="s">
        <v>520</v>
      </c>
      <c r="E194" t="b">
        <v>0</v>
      </c>
      <c r="F194" s="5">
        <v>59200</v>
      </c>
      <c r="G194" t="s">
        <v>727</v>
      </c>
      <c r="H194" t="s">
        <v>728</v>
      </c>
      <c r="I194" s="1" t="s">
        <v>729</v>
      </c>
      <c r="J194" s="60" t="str" cm="1">
        <f t="array" aca="1" ref="J194" ca="1">_xlfn.XLOOKUP(Assignments[[#This Row],[Company ID]], INDIRECT("'"&amp;Assignments[[#This Row],[Coordinator]]&amp;"'!$B:$B"), INDIRECT("'"&amp;Assignments[[#This Row],[Coordinator]]&amp;"'!$J:$J"), "")</f>
        <v>The w-9 is delayed, but the contact confirmed upload by end of day today. Remaining documents are on file and verified. Will check and close EOD.</v>
      </c>
      <c r="K194" s="12" t="str" cm="1">
        <f t="array" aca="1" ref="K194" ca="1">_xlfn.XLOOKUP(Assignments[[#This Row],[Company ID]], INDIRECT("'"&amp;Assignments[[#This Row],[Coordinator]]&amp;"'!$B:$B"), INDIRECT("'"&amp;Assignments[[#This Row],[Coordinator]]&amp;"'!$K:$K"), "")</f>
        <v>Delayed – EOD</v>
      </c>
      <c r="L194" s="12" t="b" cm="1">
        <f t="array" aca="1" ref="L194" ca="1">_xlfn.XLOOKUP(Assignments[[#This Row],[Company ID]], INDIRECT("'"&amp;Assignments[[#This Row],[Coordinator]]&amp;"'!$B:$B"), INDIRECT("'"&amp;Assignments[[#This Row],[Coordinator]]&amp;"'!$L:$L"), "")</f>
        <v>0</v>
      </c>
    </row>
    <row r="195" spans="1:12" ht="30" customHeight="1" x14ac:dyDescent="0.25">
      <c r="A195" t="s">
        <v>659</v>
      </c>
      <c r="B195" s="2">
        <v>297687</v>
      </c>
      <c r="C195" t="s">
        <v>730</v>
      </c>
      <c r="D195" s="1" t="s">
        <v>520</v>
      </c>
      <c r="E195" t="b">
        <v>0</v>
      </c>
      <c r="F195" s="5">
        <v>72300</v>
      </c>
      <c r="G195" t="s">
        <v>731</v>
      </c>
      <c r="H195" t="s">
        <v>732</v>
      </c>
      <c r="I195" s="1" t="s">
        <v>733</v>
      </c>
      <c r="J195" s="60" t="str" cm="1">
        <f t="array" aca="1" ref="J195" ca="1">_xlfn.XLOOKUP(Assignments[[#This Row],[Company ID]], INDIRECT("'"&amp;Assignments[[#This Row],[Coordinator]]&amp;"'!$B:$B"), INDIRECT("'"&amp;Assignments[[#This Row],[Coordinator]]&amp;"'!$J:$J"), "")</f>
        <v>Everything is in — the Spend authorization arrived this Monday and matched our records. Contact was proactive throughout. Onboarding complete.</v>
      </c>
      <c r="K195" s="12" t="str" cm="1">
        <f t="array" aca="1" ref="K195" ca="1">_xlfn.XLOOKUP(Assignments[[#This Row],[Company ID]], INDIRECT("'"&amp;Assignments[[#This Row],[Coordinator]]&amp;"'!$B:$B"), INDIRECT("'"&amp;Assignments[[#This Row],[Coordinator]]&amp;"'!$K:$K"), "")</f>
        <v>Completion</v>
      </c>
      <c r="L195" s="12" t="b" cm="1">
        <f t="array" aca="1" ref="L195" ca="1">_xlfn.XLOOKUP(Assignments[[#This Row],[Company ID]], INDIRECT("'"&amp;Assignments[[#This Row],[Coordinator]]&amp;"'!$B:$B"), INDIRECT("'"&amp;Assignments[[#This Row],[Coordinator]]&amp;"'!$L:$L"), "")</f>
        <v>1</v>
      </c>
    </row>
    <row r="196" spans="1:12" ht="30" customHeight="1" x14ac:dyDescent="0.25">
      <c r="A196" t="s">
        <v>659</v>
      </c>
      <c r="B196" s="2">
        <v>538072</v>
      </c>
      <c r="C196" t="s">
        <v>734</v>
      </c>
      <c r="D196" s="1" t="s">
        <v>419</v>
      </c>
      <c r="E196" t="b">
        <v>0</v>
      </c>
      <c r="F196" s="5">
        <v>142500</v>
      </c>
      <c r="G196" t="s">
        <v>735</v>
      </c>
      <c r="H196" t="s">
        <v>736</v>
      </c>
      <c r="I196" s="1" t="s">
        <v>737</v>
      </c>
      <c r="J196" s="60" t="str" cm="1">
        <f t="array" aca="1" ref="J196" ca="1">_xlfn.XLOOKUP(Assignments[[#This Row],[Company ID]], INDIRECT("'"&amp;Assignments[[#This Row],[Coordinator]]&amp;"'!$B:$B"), INDIRECT("'"&amp;Assignments[[#This Row],[Coordinator]]&amp;"'!$J:$J"), "")</f>
        <v>All onboarding documents — COI, W-9, and Spend authorization — are received and verified, with the W-9 arriving last. Compliance review passed with no exceptions. Vendor is fully onboarded and cleared for service.</v>
      </c>
      <c r="K196" s="12" t="str" cm="1">
        <f t="array" aca="1" ref="K196" ca="1">_xlfn.XLOOKUP(Assignments[[#This Row],[Company ID]], INDIRECT("'"&amp;Assignments[[#This Row],[Coordinator]]&amp;"'!$B:$B"), INDIRECT("'"&amp;Assignments[[#This Row],[Coordinator]]&amp;"'!$K:$K"), "")</f>
        <v>Completion</v>
      </c>
      <c r="L196" s="12" t="b" cm="1">
        <f t="array" aca="1" ref="L196" ca="1">_xlfn.XLOOKUP(Assignments[[#This Row],[Company ID]], INDIRECT("'"&amp;Assignments[[#This Row],[Coordinator]]&amp;"'!$B:$B"), INDIRECT("'"&amp;Assignments[[#This Row],[Coordinator]]&amp;"'!$L:$L"), "")</f>
        <v>1</v>
      </c>
    </row>
    <row r="197" spans="1:12" ht="30" customHeight="1" x14ac:dyDescent="0.25">
      <c r="A197" t="s">
        <v>659</v>
      </c>
      <c r="B197" s="2">
        <v>684935</v>
      </c>
      <c r="C197" t="s">
        <v>738</v>
      </c>
      <c r="D197" s="1" t="s">
        <v>216</v>
      </c>
      <c r="E197" t="b">
        <v>0</v>
      </c>
      <c r="F197" s="5">
        <v>16400</v>
      </c>
      <c r="G197" t="s">
        <v>739</v>
      </c>
      <c r="H197" t="s">
        <v>740</v>
      </c>
      <c r="I197" s="1" t="s">
        <v>741</v>
      </c>
      <c r="J197" s="60" t="str" cm="1">
        <f t="array" aca="1" ref="J197" ca="1">_xlfn.XLOOKUP(Assignments[[#This Row],[Company ID]], INDIRECT("'"&amp;Assignments[[#This Row],[Coordinator]]&amp;"'!$B:$B"), INDIRECT("'"&amp;Assignments[[#This Row],[Coordinator]]&amp;"'!$J:$J"), "")</f>
        <v>The w-9 received and verified; the Spend authorization and the COI still outstanding. Contact confirmed the remainder will be submitted by Thursday. Following up then.</v>
      </c>
      <c r="K197" s="12" t="str" cm="1">
        <f t="array" aca="1" ref="K197" ca="1">_xlfn.XLOOKUP(Assignments[[#This Row],[Company ID]], INDIRECT("'"&amp;Assignments[[#This Row],[Coordinator]]&amp;"'!$B:$B"), INDIRECT("'"&amp;Assignments[[#This Row],[Coordinator]]&amp;"'!$K:$K"), "")</f>
        <v>Received</v>
      </c>
      <c r="L197" s="12" t="str" cm="1">
        <f t="array" aca="1" ref="L197" ca="1">_xlfn.XLOOKUP(Assignments[[#This Row],[Company ID]], INDIRECT("'"&amp;Assignments[[#This Row],[Coordinator]]&amp;"'!$B:$B"), INDIRECT("'"&amp;Assignments[[#This Row],[Coordinator]]&amp;"'!$L:$L"), "")</f>
        <v>RECEIVED</v>
      </c>
    </row>
    <row r="198" spans="1:12" ht="30" customHeight="1" x14ac:dyDescent="0.25">
      <c r="A198" t="s">
        <v>659</v>
      </c>
      <c r="B198" s="2">
        <v>574921</v>
      </c>
      <c r="C198" t="s">
        <v>742</v>
      </c>
      <c r="D198" s="1" t="s">
        <v>216</v>
      </c>
      <c r="E198" t="b">
        <v>0</v>
      </c>
      <c r="F198" s="5">
        <v>24400</v>
      </c>
      <c r="G198" t="s">
        <v>743</v>
      </c>
      <c r="H198" t="s">
        <v>744</v>
      </c>
      <c r="I198" s="1" t="s">
        <v>745</v>
      </c>
      <c r="J198" s="60" t="str" cm="1">
        <f t="array" aca="1" ref="J198" ca="1">_xlfn.XLOOKUP(Assignments[[#This Row],[Company ID]], INDIRECT("'"&amp;Assignments[[#This Row],[Coordinator]]&amp;"'!$B:$B"), INDIRECT("'"&amp;Assignments[[#This Row],[Coordinator]]&amp;"'!$J:$J"), "")</f>
        <v>The coi pushed back owing to an internal signature backlog on the vendor's side. The rest of the packet is fine. Expecting resolution by Monday.</v>
      </c>
      <c r="K198" s="12" t="str" cm="1">
        <f t="array" aca="1" ref="K198" ca="1">_xlfn.XLOOKUP(Assignments[[#This Row],[Company ID]], INDIRECT("'"&amp;Assignments[[#This Row],[Coordinator]]&amp;"'!$B:$B"), INDIRECT("'"&amp;Assignments[[#This Row],[Coordinator]]&amp;"'!$K:$K"), "")</f>
        <v>Delayed</v>
      </c>
      <c r="L198" s="12" t="b" cm="1">
        <f t="array" aca="1" ref="L198" ca="1">_xlfn.XLOOKUP(Assignments[[#This Row],[Company ID]], INDIRECT("'"&amp;Assignments[[#This Row],[Coordinator]]&amp;"'!$B:$B"), INDIRECT("'"&amp;Assignments[[#This Row],[Coordinator]]&amp;"'!$L:$L"), "")</f>
        <v>0</v>
      </c>
    </row>
    <row r="199" spans="1:12" ht="30" customHeight="1" x14ac:dyDescent="0.25">
      <c r="A199" t="s">
        <v>659</v>
      </c>
      <c r="B199" s="2">
        <v>532054</v>
      </c>
      <c r="C199" t="s">
        <v>746</v>
      </c>
      <c r="D199" s="1" t="s">
        <v>216</v>
      </c>
      <c r="E199" t="b">
        <v>0</v>
      </c>
      <c r="F199" s="5">
        <v>40900</v>
      </c>
      <c r="G199" t="s">
        <v>747</v>
      </c>
      <c r="H199" t="s">
        <v>748</v>
      </c>
      <c r="I199" s="1" t="s">
        <v>749</v>
      </c>
      <c r="J199" s="60" t="str" cm="1">
        <f t="array" aca="1" ref="J199" ca="1">_xlfn.XLOOKUP(Assignments[[#This Row],[Company ID]], INDIRECT("'"&amp;Assignments[[#This Row],[Coordinator]]&amp;"'!$B:$B"), INDIRECT("'"&amp;Assignments[[#This Row],[Coordinator]]&amp;"'!$J:$J"), "")</f>
        <v>Full document set received and reconciled against the master vendor record; the COI needed a quick correction, now resolved. No further discrepancies found. Onboarding officially complete.</v>
      </c>
      <c r="K199" s="12" t="str" cm="1">
        <f t="array" aca="1" ref="K199" ca="1">_xlfn.XLOOKUP(Assignments[[#This Row],[Company ID]], INDIRECT("'"&amp;Assignments[[#This Row],[Coordinator]]&amp;"'!$B:$B"), INDIRECT("'"&amp;Assignments[[#This Row],[Coordinator]]&amp;"'!$K:$K"), "")</f>
        <v>Completion</v>
      </c>
      <c r="L199" s="12" t="b" cm="1">
        <f t="array" aca="1" ref="L199" ca="1">_xlfn.XLOOKUP(Assignments[[#This Row],[Company ID]], INDIRECT("'"&amp;Assignments[[#This Row],[Coordinator]]&amp;"'!$B:$B"), INDIRECT("'"&amp;Assignments[[#This Row],[Coordinator]]&amp;"'!$L:$L"), "")</f>
        <v>1</v>
      </c>
    </row>
    <row r="200" spans="1:12" ht="30" customHeight="1" x14ac:dyDescent="0.25">
      <c r="A200" t="s">
        <v>659</v>
      </c>
      <c r="B200" s="2">
        <v>777665</v>
      </c>
      <c r="C200" t="s">
        <v>750</v>
      </c>
      <c r="D200" s="1" t="s">
        <v>221</v>
      </c>
      <c r="E200" t="b">
        <v>0</v>
      </c>
      <c r="F200" s="5">
        <v>1900</v>
      </c>
      <c r="G200" t="s">
        <v>751</v>
      </c>
      <c r="H200" t="s">
        <v>752</v>
      </c>
      <c r="I200" s="1" t="s">
        <v>753</v>
      </c>
      <c r="J200" s="60" t="str" cm="1">
        <f t="array" aca="1" ref="J200" ca="1">_xlfn.XLOOKUP(Assignments[[#This Row],[Company ID]], INDIRECT("'"&amp;Assignments[[#This Row],[Coordinator]]&amp;"'!$B:$B"), INDIRECT("'"&amp;Assignments[[#This Row],[Coordinator]]&amp;"'!$J:$J"), "")</f>
        <v>Contact delivered the W-9 ahead of the deadline, completing the packet. Coverage and W-9 details confirmed current. Cleared for daily operations support.</v>
      </c>
      <c r="K200" s="12" t="str" cm="1">
        <f t="array" aca="1" ref="K200" ca="1">_xlfn.XLOOKUP(Assignments[[#This Row],[Company ID]], INDIRECT("'"&amp;Assignments[[#This Row],[Coordinator]]&amp;"'!$B:$B"), INDIRECT("'"&amp;Assignments[[#This Row],[Coordinator]]&amp;"'!$K:$K"), "")</f>
        <v>Completion</v>
      </c>
      <c r="L200" s="12" t="b" cm="1">
        <f t="array" aca="1" ref="L200" ca="1">_xlfn.XLOOKUP(Assignments[[#This Row],[Company ID]], INDIRECT("'"&amp;Assignments[[#This Row],[Coordinator]]&amp;"'!$B:$B"), INDIRECT("'"&amp;Assignments[[#This Row],[Coordinator]]&amp;"'!$L:$L"), "")</f>
        <v>1</v>
      </c>
    </row>
    <row r="201" spans="1:12" ht="30" customHeight="1" x14ac:dyDescent="0.25">
      <c r="A201" t="s">
        <v>659</v>
      </c>
      <c r="B201" s="2">
        <v>711388</v>
      </c>
      <c r="C201" t="s">
        <v>754</v>
      </c>
      <c r="D201" s="1" t="s">
        <v>432</v>
      </c>
      <c r="E201" t="b">
        <v>0</v>
      </c>
      <c r="F201" s="5">
        <v>104700</v>
      </c>
      <c r="G201" t="s">
        <v>755</v>
      </c>
      <c r="H201" t="s">
        <v>756</v>
      </c>
      <c r="I201" s="1" t="s">
        <v>757</v>
      </c>
      <c r="J201" s="60" t="str" cm="1">
        <f t="array" aca="1" ref="J201" ca="1">_xlfn.XLOOKUP(Assignments[[#This Row],[Company ID]], INDIRECT("'"&amp;Assignments[[#This Row],[Coordinator]]&amp;"'!$B:$B"), INDIRECT("'"&amp;Assignments[[#This Row],[Coordinator]]&amp;"'!$J:$J"), "")</f>
        <v>Progressing well: the COI accepted and logged. Outstanding item is the Spend authorization and the W-9, which the contact expects by next week. Steady communication.</v>
      </c>
      <c r="K201" s="12" t="str" cm="1">
        <f t="array" aca="1" ref="K201" ca="1">_xlfn.XLOOKUP(Assignments[[#This Row],[Company ID]], INDIRECT("'"&amp;Assignments[[#This Row],[Coordinator]]&amp;"'!$B:$B"), INDIRECT("'"&amp;Assignments[[#This Row],[Coordinator]]&amp;"'!$K:$K"), "")</f>
        <v>Received</v>
      </c>
      <c r="L201" s="12" t="str" cm="1">
        <f t="array" aca="1" ref="L201" ca="1">_xlfn.XLOOKUP(Assignments[[#This Row],[Company ID]], INDIRECT("'"&amp;Assignments[[#This Row],[Coordinator]]&amp;"'!$B:$B"), INDIRECT("'"&amp;Assignments[[#This Row],[Coordinator]]&amp;"'!$L:$L"), "")</f>
        <v>RECEIVED</v>
      </c>
    </row>
    <row r="202" spans="1:12" ht="30" customHeight="1" x14ac:dyDescent="0.25">
      <c r="A202" t="s">
        <v>659</v>
      </c>
      <c r="B202" s="2">
        <v>463874</v>
      </c>
      <c r="C202" t="s">
        <v>758</v>
      </c>
      <c r="D202" s="1" t="s">
        <v>432</v>
      </c>
      <c r="E202" t="b">
        <v>0</v>
      </c>
      <c r="F202" s="5">
        <v>198200</v>
      </c>
      <c r="G202" t="s">
        <v>759</v>
      </c>
      <c r="H202" t="s">
        <v>760</v>
      </c>
      <c r="I202" s="1" t="s">
        <v>761</v>
      </c>
      <c r="J202" s="60" t="str" cm="1">
        <f t="array" aca="1" ref="J202" ca="1">_xlfn.XLOOKUP(Assignments[[#This Row],[Company ID]], INDIRECT("'"&amp;Assignments[[#This Row],[Coordinator]]&amp;"'!$B:$B"), INDIRECT("'"&amp;Assignments[[#This Row],[Coordinator]]&amp;"'!$J:$J"), "")</f>
        <v>The spend authorization held up because of a vendor-side system migration that temporarily locked their files. Contact is actively working it and apologized for the lag. New target is Monday.</v>
      </c>
      <c r="K202" s="12" t="str" cm="1">
        <f t="array" aca="1" ref="K202" ca="1">_xlfn.XLOOKUP(Assignments[[#This Row],[Company ID]], INDIRECT("'"&amp;Assignments[[#This Row],[Coordinator]]&amp;"'!$B:$B"), INDIRECT("'"&amp;Assignments[[#This Row],[Coordinator]]&amp;"'!$K:$K"), "")</f>
        <v>Delayed</v>
      </c>
      <c r="L202" s="12" t="b" cm="1">
        <f t="array" aca="1" ref="L202" ca="1">_xlfn.XLOOKUP(Assignments[[#This Row],[Company ID]], INDIRECT("'"&amp;Assignments[[#This Row],[Coordinator]]&amp;"'!$B:$B"), INDIRECT("'"&amp;Assignments[[#This Row],[Coordinator]]&amp;"'!$L:$L"), "")</f>
        <v>0</v>
      </c>
    </row>
    <row r="203" spans="1:12" ht="30" customHeight="1" x14ac:dyDescent="0.25">
      <c r="A203" t="s">
        <v>659</v>
      </c>
      <c r="B203" s="2">
        <v>621773</v>
      </c>
      <c r="C203" t="s">
        <v>762</v>
      </c>
      <c r="D203" s="1" t="s">
        <v>432</v>
      </c>
      <c r="E203" t="b">
        <v>0</v>
      </c>
      <c r="F203" s="5">
        <v>153500</v>
      </c>
      <c r="G203" t="s">
        <v>763</v>
      </c>
      <c r="H203" t="s">
        <v>764</v>
      </c>
      <c r="I203" s="1" t="s">
        <v>765</v>
      </c>
      <c r="J203" s="60" t="str" cm="1">
        <f t="array" aca="1" ref="J203" ca="1">_xlfn.XLOOKUP(Assignments[[#This Row],[Company ID]], INDIRECT("'"&amp;Assignments[[#This Row],[Coordinator]]&amp;"'!$B:$B"), INDIRECT("'"&amp;Assignments[[#This Row],[Coordinator]]&amp;"'!$J:$J"), "")</f>
        <v>The coi received and verified; the Spend authorization and the W-9 still outstanding. Contact confirmed the remainder will be submitted by next week. Following up then.</v>
      </c>
      <c r="K203" s="12" t="str" cm="1">
        <f t="array" aca="1" ref="K203" ca="1">_xlfn.XLOOKUP(Assignments[[#This Row],[Company ID]], INDIRECT("'"&amp;Assignments[[#This Row],[Coordinator]]&amp;"'!$B:$B"), INDIRECT("'"&amp;Assignments[[#This Row],[Coordinator]]&amp;"'!$K:$K"), "")</f>
        <v>Received</v>
      </c>
      <c r="L203" s="12" t="str" cm="1">
        <f t="array" aca="1" ref="L203" ca="1">_xlfn.XLOOKUP(Assignments[[#This Row],[Company ID]], INDIRECT("'"&amp;Assignments[[#This Row],[Coordinator]]&amp;"'!$B:$B"), INDIRECT("'"&amp;Assignments[[#This Row],[Coordinator]]&amp;"'!$L:$L"), "")</f>
        <v>RECEIVED</v>
      </c>
    </row>
    <row r="204" spans="1:12" ht="30" customHeight="1" x14ac:dyDescent="0.25">
      <c r="A204" t="s">
        <v>659</v>
      </c>
      <c r="B204" s="2">
        <v>671536</v>
      </c>
      <c r="C204" t="s">
        <v>766</v>
      </c>
      <c r="D204" s="1" t="s">
        <v>432</v>
      </c>
      <c r="E204" t="b">
        <v>0</v>
      </c>
      <c r="F204" s="5">
        <v>9100</v>
      </c>
      <c r="G204" t="s">
        <v>767</v>
      </c>
      <c r="H204" t="s">
        <v>768</v>
      </c>
      <c r="I204" s="1" t="s">
        <v>769</v>
      </c>
      <c r="J204" s="60" t="str" cm="1">
        <f t="array" aca="1" ref="J204" ca="1">_xlfn.XLOOKUP(Assignments[[#This Row],[Company ID]], INDIRECT("'"&amp;Assignments[[#This Row],[Coordinator]]&amp;"'!$B:$B"), INDIRECT("'"&amp;Assignments[[#This Row],[Coordinator]]&amp;"'!$J:$J"), "")</f>
        <v>Awaiting the COI, which the contact committed to sending by end of day. The rest of the packet is complete. EOD verification scheduled.</v>
      </c>
      <c r="K204" s="12" t="str" cm="1">
        <f t="array" aca="1" ref="K204" ca="1">_xlfn.XLOOKUP(Assignments[[#This Row],[Company ID]], INDIRECT("'"&amp;Assignments[[#This Row],[Coordinator]]&amp;"'!$B:$B"), INDIRECT("'"&amp;Assignments[[#This Row],[Coordinator]]&amp;"'!$K:$K"), "")</f>
        <v>Delayed – EOD</v>
      </c>
      <c r="L204" s="12" t="b" cm="1">
        <f t="array" aca="1" ref="L204" ca="1">_xlfn.XLOOKUP(Assignments[[#This Row],[Company ID]], INDIRECT("'"&amp;Assignments[[#This Row],[Coordinator]]&amp;"'!$B:$B"), INDIRECT("'"&amp;Assignments[[#This Row],[Coordinator]]&amp;"'!$L:$L"), "")</f>
        <v>0</v>
      </c>
    </row>
    <row r="205" spans="1:12" ht="30" customHeight="1" x14ac:dyDescent="0.25">
      <c r="A205" t="s">
        <v>659</v>
      </c>
      <c r="B205" s="2">
        <v>684529</v>
      </c>
      <c r="C205" t="s">
        <v>770</v>
      </c>
      <c r="D205" s="1" t="s">
        <v>437</v>
      </c>
      <c r="E205" t="b">
        <v>0</v>
      </c>
      <c r="F205" s="5">
        <v>52400</v>
      </c>
      <c r="G205" t="s">
        <v>771</v>
      </c>
      <c r="H205" t="s">
        <v>772</v>
      </c>
      <c r="I205" s="1" t="s">
        <v>773</v>
      </c>
      <c r="J205" s="60" t="str" cm="1">
        <f t="array" aca="1" ref="J205" ca="1">_xlfn.XLOOKUP(Assignments[[#This Row],[Company ID]], INDIRECT("'"&amp;Assignments[[#This Row],[Coordinator]]&amp;"'!$B:$B"), INDIRECT("'"&amp;Assignments[[#This Row],[Coordinator]]&amp;"'!$J:$J"), "")</f>
        <v>Contact guaranteed the outstanding Spend authorization by close of business. Other documents are accepted and validated. Will confirm and complete EOD.</v>
      </c>
      <c r="K205" s="12" t="str" cm="1">
        <f t="array" aca="1" ref="K205" ca="1">_xlfn.XLOOKUP(Assignments[[#This Row],[Company ID]], INDIRECT("'"&amp;Assignments[[#This Row],[Coordinator]]&amp;"'!$B:$B"), INDIRECT("'"&amp;Assignments[[#This Row],[Coordinator]]&amp;"'!$K:$K"), "")</f>
        <v>Delayed – EOD</v>
      </c>
      <c r="L205" s="12" t="b" cm="1">
        <f t="array" aca="1" ref="L205" ca="1">_xlfn.XLOOKUP(Assignments[[#This Row],[Company ID]], INDIRECT("'"&amp;Assignments[[#This Row],[Coordinator]]&amp;"'!$B:$B"), INDIRECT("'"&amp;Assignments[[#This Row],[Coordinator]]&amp;"'!$L:$L"), "")</f>
        <v>0</v>
      </c>
    </row>
    <row r="206" spans="1:12" ht="30" customHeight="1" x14ac:dyDescent="0.25">
      <c r="A206" t="s">
        <v>659</v>
      </c>
      <c r="B206" s="2">
        <v>379409</v>
      </c>
      <c r="C206" t="s">
        <v>774</v>
      </c>
      <c r="D206" s="1" t="s">
        <v>437</v>
      </c>
      <c r="E206" t="b">
        <v>0</v>
      </c>
      <c r="F206" s="5">
        <v>50600</v>
      </c>
      <c r="G206" t="s">
        <v>775</v>
      </c>
      <c r="H206" t="s">
        <v>776</v>
      </c>
      <c r="I206" s="1" t="s">
        <v>777</v>
      </c>
      <c r="J206" s="60" t="str" cm="1">
        <f t="array" aca="1" ref="J206" ca="1">_xlfn.XLOOKUP(Assignments[[#This Row],[Company ID]], INDIRECT("'"&amp;Assignments[[#This Row],[Coordinator]]&amp;"'!$B:$B"), INDIRECT("'"&amp;Assignments[[#This Row],[Coordinator]]&amp;"'!$J:$J"), "")</f>
        <v>Everything is in — the COI arrived this Friday and matched our records. Contact was proactive throughout. Onboarding complete.</v>
      </c>
      <c r="K206" s="12" t="str" cm="1">
        <f t="array" aca="1" ref="K206" ca="1">_xlfn.XLOOKUP(Assignments[[#This Row],[Company ID]], INDIRECT("'"&amp;Assignments[[#This Row],[Coordinator]]&amp;"'!$B:$B"), INDIRECT("'"&amp;Assignments[[#This Row],[Coordinator]]&amp;"'!$K:$K"), "")</f>
        <v>Completion</v>
      </c>
      <c r="L206" s="12" t="b" cm="1">
        <f t="array" aca="1" ref="L206" ca="1">_xlfn.XLOOKUP(Assignments[[#This Row],[Company ID]], INDIRECT("'"&amp;Assignments[[#This Row],[Coordinator]]&amp;"'!$B:$B"), INDIRECT("'"&amp;Assignments[[#This Row],[Coordinator]]&amp;"'!$L:$L"), "")</f>
        <v>1</v>
      </c>
    </row>
    <row r="207" spans="1:12" ht="30" customHeight="1" x14ac:dyDescent="0.25">
      <c r="A207" t="s">
        <v>659</v>
      </c>
      <c r="B207" s="2">
        <v>614102</v>
      </c>
      <c r="C207" t="s">
        <v>778</v>
      </c>
      <c r="D207" s="1" t="s">
        <v>570</v>
      </c>
      <c r="E207" t="b">
        <v>0</v>
      </c>
      <c r="F207" s="5">
        <v>55500</v>
      </c>
      <c r="G207" t="s">
        <v>779</v>
      </c>
      <c r="H207" t="s">
        <v>780</v>
      </c>
      <c r="I207" s="1" t="s">
        <v>781</v>
      </c>
      <c r="J207" s="60" t="str" cm="1">
        <f t="array" aca="1" ref="J207" ca="1">_xlfn.XLOOKUP(Assignments[[#This Row],[Company ID]], INDIRECT("'"&amp;Assignments[[#This Row],[Coordinator]]&amp;"'!$B:$B"), INDIRECT("'"&amp;Assignments[[#This Row],[Coordinator]]&amp;"'!$J:$J"), "")</f>
        <v>The coi and the spend authorization cleared compliance review. The w-9 was flagged as still needed and re-requested. Contact responsive and engaged.</v>
      </c>
      <c r="K207" s="12" t="str" cm="1">
        <f t="array" aca="1" ref="K207" ca="1">_xlfn.XLOOKUP(Assignments[[#This Row],[Company ID]], INDIRECT("'"&amp;Assignments[[#This Row],[Coordinator]]&amp;"'!$B:$B"), INDIRECT("'"&amp;Assignments[[#This Row],[Coordinator]]&amp;"'!$K:$K"), "")</f>
        <v>Received</v>
      </c>
      <c r="L207" s="12" t="str" cm="1">
        <f t="array" aca="1" ref="L207" ca="1">_xlfn.XLOOKUP(Assignments[[#This Row],[Company ID]], INDIRECT("'"&amp;Assignments[[#This Row],[Coordinator]]&amp;"'!$B:$B"), INDIRECT("'"&amp;Assignments[[#This Row],[Coordinator]]&amp;"'!$L:$L"), "")</f>
        <v>RECEIVED</v>
      </c>
    </row>
    <row r="208" spans="1:12" ht="30" customHeight="1" x14ac:dyDescent="0.25">
      <c r="A208" t="s">
        <v>659</v>
      </c>
      <c r="B208" s="2">
        <v>586450</v>
      </c>
      <c r="C208" t="s">
        <v>782</v>
      </c>
      <c r="D208" s="1" t="s">
        <v>441</v>
      </c>
      <c r="E208" t="b">
        <v>0</v>
      </c>
      <c r="F208" s="5">
        <v>14400</v>
      </c>
      <c r="G208" t="s">
        <v>783</v>
      </c>
      <c r="H208" t="s">
        <v>784</v>
      </c>
      <c r="I208" s="1" t="s">
        <v>785</v>
      </c>
      <c r="J208" s="60" t="str" cm="1">
        <f t="array" aca="1" ref="J208" ca="1">_xlfn.XLOOKUP(Assignments[[#This Row],[Company ID]], INDIRECT("'"&amp;Assignments[[#This Row],[Coordinator]]&amp;"'!$B:$B"), INDIRECT("'"&amp;Assignments[[#This Row],[Coordinator]]&amp;"'!$J:$J"), "")</f>
        <v>The coi and the spend authorization cleared compliance review. The w-9 was flagged as still needed and re-requested. Contact responsive and engaged.</v>
      </c>
      <c r="K208" s="12" t="str" cm="1">
        <f t="array" aca="1" ref="K208" ca="1">_xlfn.XLOOKUP(Assignments[[#This Row],[Company ID]], INDIRECT("'"&amp;Assignments[[#This Row],[Coordinator]]&amp;"'!$B:$B"), INDIRECT("'"&amp;Assignments[[#This Row],[Coordinator]]&amp;"'!$K:$K"), "")</f>
        <v>Received</v>
      </c>
      <c r="L208" s="12" t="str" cm="1">
        <f t="array" aca="1" ref="L208" ca="1">_xlfn.XLOOKUP(Assignments[[#This Row],[Company ID]], INDIRECT("'"&amp;Assignments[[#This Row],[Coordinator]]&amp;"'!$B:$B"), INDIRECT("'"&amp;Assignments[[#This Row],[Coordinator]]&amp;"'!$L:$L"), "")</f>
        <v>RECEIVED</v>
      </c>
    </row>
    <row r="209" spans="1:12" ht="30" customHeight="1" x14ac:dyDescent="0.25">
      <c r="A209" t="s">
        <v>659</v>
      </c>
      <c r="B209" s="2">
        <v>887507</v>
      </c>
      <c r="C209" t="s">
        <v>786</v>
      </c>
      <c r="D209" s="1" t="s">
        <v>587</v>
      </c>
      <c r="E209" t="b">
        <v>0</v>
      </c>
      <c r="F209" s="5">
        <v>11400</v>
      </c>
      <c r="G209" t="s">
        <v>787</v>
      </c>
      <c r="H209" t="s">
        <v>788</v>
      </c>
      <c r="I209" s="1" t="s">
        <v>789</v>
      </c>
      <c r="J209" s="60" t="str" cm="1">
        <f t="array" aca="1" ref="J209" ca="1">_xlfn.XLOOKUP(Assignments[[#This Row],[Company ID]], INDIRECT("'"&amp;Assignments[[#This Row],[Coordinator]]&amp;"'!$B:$B"), INDIRECT("'"&amp;Assignments[[#This Row],[Coordinator]]&amp;"'!$J:$J"), "")</f>
        <v>The coi held up because of a holiday closure at the vendor's corporate office. Contact is actively working it and apologized for the lag. New target is Thursday.</v>
      </c>
      <c r="K209" s="12" t="str" cm="1">
        <f t="array" aca="1" ref="K209" ca="1">_xlfn.XLOOKUP(Assignments[[#This Row],[Company ID]], INDIRECT("'"&amp;Assignments[[#This Row],[Coordinator]]&amp;"'!$B:$B"), INDIRECT("'"&amp;Assignments[[#This Row],[Coordinator]]&amp;"'!$K:$K"), "")</f>
        <v>Delayed</v>
      </c>
      <c r="L209" s="12" t="b" cm="1">
        <f t="array" aca="1" ref="L209" ca="1">_xlfn.XLOOKUP(Assignments[[#This Row],[Company ID]], INDIRECT("'"&amp;Assignments[[#This Row],[Coordinator]]&amp;"'!$B:$B"), INDIRECT("'"&amp;Assignments[[#This Row],[Coordinator]]&amp;"'!$L:$L"), "")</f>
        <v>0</v>
      </c>
    </row>
    <row r="210" spans="1:12" ht="30" customHeight="1" x14ac:dyDescent="0.25">
      <c r="A210" t="s">
        <v>659</v>
      </c>
      <c r="B210" s="2">
        <v>602155</v>
      </c>
      <c r="C210" t="s">
        <v>790</v>
      </c>
      <c r="D210" s="1" t="s">
        <v>587</v>
      </c>
      <c r="E210" t="b">
        <v>0</v>
      </c>
      <c r="F210" s="5">
        <v>74300</v>
      </c>
      <c r="G210" t="s">
        <v>791</v>
      </c>
      <c r="H210" t="s">
        <v>792</v>
      </c>
      <c r="I210" s="1" t="s">
        <v>793</v>
      </c>
      <c r="J210" s="60" t="str" cm="1">
        <f t="array" aca="1" ref="J210" ca="1">_xlfn.XLOOKUP(Assignments[[#This Row],[Company ID]], INDIRECT("'"&amp;Assignments[[#This Row],[Coordinator]]&amp;"'!$B:$B"), INDIRECT("'"&amp;Assignments[[#This Row],[Coordinator]]&amp;"'!$J:$J"), "")</f>
        <v>Received the Spend authorization through the portal today; the W-9 and the COI still pending. Contact acknowledged the request and is gathering the paperwork. Checking back Tuesday.</v>
      </c>
      <c r="K210" s="12" t="str" cm="1">
        <f t="array" aca="1" ref="K210" ca="1">_xlfn.XLOOKUP(Assignments[[#This Row],[Company ID]], INDIRECT("'"&amp;Assignments[[#This Row],[Coordinator]]&amp;"'!$B:$B"), INDIRECT("'"&amp;Assignments[[#This Row],[Coordinator]]&amp;"'!$K:$K"), "")</f>
        <v>Received</v>
      </c>
      <c r="L210" s="12" t="str" cm="1">
        <f t="array" aca="1" ref="L210" ca="1">_xlfn.XLOOKUP(Assignments[[#This Row],[Company ID]], INDIRECT("'"&amp;Assignments[[#This Row],[Coordinator]]&amp;"'!$B:$B"), INDIRECT("'"&amp;Assignments[[#This Row],[Coordinator]]&amp;"'!$L:$L"), "")</f>
        <v>RECEIVED</v>
      </c>
    </row>
    <row r="211" spans="1:12" ht="30" customHeight="1" x14ac:dyDescent="0.25">
      <c r="A211" t="s">
        <v>659</v>
      </c>
      <c r="B211" s="2">
        <v>622632</v>
      </c>
      <c r="C211" t="s">
        <v>794</v>
      </c>
      <c r="D211" s="1" t="s">
        <v>587</v>
      </c>
      <c r="E211" t="b">
        <v>0</v>
      </c>
      <c r="F211" s="5">
        <v>111800</v>
      </c>
      <c r="G211" t="s">
        <v>795</v>
      </c>
      <c r="H211" t="s">
        <v>796</v>
      </c>
      <c r="I211" s="1" t="s">
        <v>797</v>
      </c>
      <c r="J211" s="60" t="str" cm="1">
        <f t="array" aca="1" ref="J211" ca="1">_xlfn.XLOOKUP(Assignments[[#This Row],[Company ID]], INDIRECT("'"&amp;Assignments[[#This Row],[Coordinator]]&amp;"'!$B:$B"), INDIRECT("'"&amp;Assignments[[#This Row],[Coordinator]]&amp;"'!$J:$J"), "")</f>
        <v>The w-9 is held for a same-day signature; contact expects it uploaded by EOD. The other forms are approved. Standing by to finalize today.</v>
      </c>
      <c r="K211" s="12" t="str" cm="1">
        <f t="array" aca="1" ref="K211" ca="1">_xlfn.XLOOKUP(Assignments[[#This Row],[Company ID]], INDIRECT("'"&amp;Assignments[[#This Row],[Coordinator]]&amp;"'!$B:$B"), INDIRECT("'"&amp;Assignments[[#This Row],[Coordinator]]&amp;"'!$K:$K"), "")</f>
        <v>Delayed – EOD</v>
      </c>
      <c r="L211" s="12" t="b" cm="1">
        <f t="array" aca="1" ref="L211" ca="1">_xlfn.XLOOKUP(Assignments[[#This Row],[Company ID]], INDIRECT("'"&amp;Assignments[[#This Row],[Coordinator]]&amp;"'!$B:$B"), INDIRECT("'"&amp;Assignments[[#This Row],[Coordinator]]&amp;"'!$L:$L"), "")</f>
        <v>0</v>
      </c>
    </row>
    <row r="212" spans="1:12" ht="30" customHeight="1" x14ac:dyDescent="0.25">
      <c r="A212" t="s">
        <v>659</v>
      </c>
      <c r="B212" s="2">
        <v>673942</v>
      </c>
      <c r="C212" t="s">
        <v>798</v>
      </c>
      <c r="D212" s="1" t="s">
        <v>603</v>
      </c>
      <c r="E212" t="b">
        <v>0</v>
      </c>
      <c r="F212" s="5">
        <v>2700</v>
      </c>
      <c r="G212" t="s">
        <v>799</v>
      </c>
      <c r="H212" t="s">
        <v>800</v>
      </c>
      <c r="I212" s="1" t="s">
        <v>801</v>
      </c>
      <c r="J212" s="60" t="str" cm="1">
        <f t="array" aca="1" ref="J212" ca="1">_xlfn.XLOOKUP(Assignments[[#This Row],[Company ID]], INDIRECT("'"&amp;Assignments[[#This Row],[Coordinator]]&amp;"'!$B:$B"), INDIRECT("'"&amp;Assignments[[#This Row],[Coordinator]]&amp;"'!$J:$J"), "")</f>
        <v>Packet complete after the W-9 was uploaded, closing the final open item. Documents were cross-checked against contract requirements and approved. Vendor moved to active status.</v>
      </c>
      <c r="K212" s="12" t="str" cm="1">
        <f t="array" aca="1" ref="K212" ca="1">_xlfn.XLOOKUP(Assignments[[#This Row],[Company ID]], INDIRECT("'"&amp;Assignments[[#This Row],[Coordinator]]&amp;"'!$B:$B"), INDIRECT("'"&amp;Assignments[[#This Row],[Coordinator]]&amp;"'!$K:$K"), "")</f>
        <v>Completion</v>
      </c>
      <c r="L212" s="12" t="b" cm="1">
        <f t="array" aca="1" ref="L212" ca="1">_xlfn.XLOOKUP(Assignments[[#This Row],[Company ID]], INDIRECT("'"&amp;Assignments[[#This Row],[Coordinator]]&amp;"'!$B:$B"), INDIRECT("'"&amp;Assignments[[#This Row],[Coordinator]]&amp;"'!$L:$L"), "")</f>
        <v>1</v>
      </c>
    </row>
    <row r="213" spans="1:12" ht="30" customHeight="1" x14ac:dyDescent="0.25">
      <c r="A213" t="s">
        <v>659</v>
      </c>
      <c r="B213" s="2">
        <v>921426</v>
      </c>
      <c r="C213" t="s">
        <v>802</v>
      </c>
      <c r="D213" s="1" t="s">
        <v>446</v>
      </c>
      <c r="E213" t="b">
        <v>0</v>
      </c>
      <c r="F213" s="5">
        <v>2800</v>
      </c>
      <c r="G213" t="s">
        <v>803</v>
      </c>
      <c r="H213" t="s">
        <v>804</v>
      </c>
      <c r="I213" s="1" t="s">
        <v>805</v>
      </c>
      <c r="J213" s="60" t="str" cm="1">
        <f t="array" aca="1" ref="J213" ca="1">_xlfn.XLOOKUP(Assignments[[#This Row],[Company ID]], INDIRECT("'"&amp;Assignments[[#This Row],[Coordinator]]&amp;"'!$B:$B"), INDIRECT("'"&amp;Assignments[[#This Row],[Coordinator]]&amp;"'!$J:$J"), "")</f>
        <v>The w-9 is running late; contact promised delivery by close of business. Everything else has cleared review. Following up this afternoon.</v>
      </c>
      <c r="K213" s="12" t="str" cm="1">
        <f t="array" aca="1" ref="K213" ca="1">_xlfn.XLOOKUP(Assignments[[#This Row],[Company ID]], INDIRECT("'"&amp;Assignments[[#This Row],[Coordinator]]&amp;"'!$B:$B"), INDIRECT("'"&amp;Assignments[[#This Row],[Coordinator]]&amp;"'!$K:$K"), "")</f>
        <v>Delayed – EOD</v>
      </c>
      <c r="L213" s="12" t="b" cm="1">
        <f t="array" aca="1" ref="L213" ca="1">_xlfn.XLOOKUP(Assignments[[#This Row],[Company ID]], INDIRECT("'"&amp;Assignments[[#This Row],[Coordinator]]&amp;"'!$B:$B"), INDIRECT("'"&amp;Assignments[[#This Row],[Coordinator]]&amp;"'!$L:$L"), "")</f>
        <v>0</v>
      </c>
    </row>
    <row r="214" spans="1:12" ht="30" customHeight="1" x14ac:dyDescent="0.25">
      <c r="A214" t="s">
        <v>659</v>
      </c>
      <c r="B214" s="2">
        <v>578985</v>
      </c>
      <c r="C214" t="s">
        <v>806</v>
      </c>
      <c r="D214" s="1" t="s">
        <v>446</v>
      </c>
      <c r="E214" t="b">
        <v>0</v>
      </c>
      <c r="F214" s="5">
        <v>4800</v>
      </c>
      <c r="G214" t="s">
        <v>807</v>
      </c>
      <c r="H214" t="s">
        <v>808</v>
      </c>
      <c r="I214" s="1" t="s">
        <v>809</v>
      </c>
      <c r="J214" s="60" t="str" cm="1">
        <f t="array" aca="1" ref="J214" ca="1">_xlfn.XLOOKUP(Assignments[[#This Row],[Company ID]], INDIRECT("'"&amp;Assignments[[#This Row],[Coordinator]]&amp;"'!$B:$B"), INDIRECT("'"&amp;Assignments[[#This Row],[Coordinator]]&amp;"'!$J:$J"), "")</f>
        <v>The spend authorization is running late; contact promised delivery by close of business. Everything else has cleared review. Following up this afternoon.</v>
      </c>
      <c r="K214" s="12" t="str" cm="1">
        <f t="array" aca="1" ref="K214" ca="1">_xlfn.XLOOKUP(Assignments[[#This Row],[Company ID]], INDIRECT("'"&amp;Assignments[[#This Row],[Coordinator]]&amp;"'!$B:$B"), INDIRECT("'"&amp;Assignments[[#This Row],[Coordinator]]&amp;"'!$K:$K"), "")</f>
        <v>Delayed – EOD</v>
      </c>
      <c r="L214" s="12" t="b" cm="1">
        <f t="array" aca="1" ref="L214" ca="1">_xlfn.XLOOKUP(Assignments[[#This Row],[Company ID]], INDIRECT("'"&amp;Assignments[[#This Row],[Coordinator]]&amp;"'!$B:$B"), INDIRECT("'"&amp;Assignments[[#This Row],[Coordinator]]&amp;"'!$L:$L"), "")</f>
        <v>0</v>
      </c>
    </row>
    <row r="215" spans="1:12" ht="30" customHeight="1" x14ac:dyDescent="0.25">
      <c r="A215" t="s">
        <v>659</v>
      </c>
      <c r="B215" s="2">
        <v>716494</v>
      </c>
      <c r="C215" t="s">
        <v>810</v>
      </c>
      <c r="D215" s="1" t="s">
        <v>446</v>
      </c>
      <c r="E215" t="b">
        <v>0</v>
      </c>
      <c r="F215" s="5">
        <v>28600</v>
      </c>
      <c r="G215" t="s">
        <v>811</v>
      </c>
      <c r="H215" t="s">
        <v>812</v>
      </c>
      <c r="I215" s="1" t="s">
        <v>813</v>
      </c>
      <c r="J215" s="60" t="str" cm="1">
        <f t="array" aca="1" ref="J215" ca="1">_xlfn.XLOOKUP(Assignments[[#This Row],[Company ID]], INDIRECT("'"&amp;Assignments[[#This Row],[Coordinator]]&amp;"'!$B:$B"), INDIRECT("'"&amp;Assignments[[#This Row],[Coordinator]]&amp;"'!$J:$J"), "")</f>
        <v>Full document set received and reconciled against the master vendor record; the W-9 needed a quick correction, now resolved. No further discrepancies found. Onboarding officially complete.</v>
      </c>
      <c r="K215" s="12" t="str" cm="1">
        <f t="array" aca="1" ref="K215" ca="1">_xlfn.XLOOKUP(Assignments[[#This Row],[Company ID]], INDIRECT("'"&amp;Assignments[[#This Row],[Coordinator]]&amp;"'!$B:$B"), INDIRECT("'"&amp;Assignments[[#This Row],[Coordinator]]&amp;"'!$K:$K"), "")</f>
        <v>Completion</v>
      </c>
      <c r="L215" s="12" t="b" cm="1">
        <f t="array" aca="1" ref="L215" ca="1">_xlfn.XLOOKUP(Assignments[[#This Row],[Company ID]], INDIRECT("'"&amp;Assignments[[#This Row],[Coordinator]]&amp;"'!$B:$B"), INDIRECT("'"&amp;Assignments[[#This Row],[Coordinator]]&amp;"'!$L:$L"), "")</f>
        <v>1</v>
      </c>
    </row>
    <row r="216" spans="1:12" ht="30" customHeight="1" x14ac:dyDescent="0.25">
      <c r="A216" t="s">
        <v>659</v>
      </c>
      <c r="B216" s="2">
        <v>935413</v>
      </c>
      <c r="C216" t="s">
        <v>814</v>
      </c>
      <c r="D216" s="1" t="s">
        <v>446</v>
      </c>
      <c r="E216" t="b">
        <v>0</v>
      </c>
      <c r="F216" s="5">
        <v>38500</v>
      </c>
      <c r="G216" t="s">
        <v>815</v>
      </c>
      <c r="H216" t="s">
        <v>816</v>
      </c>
      <c r="I216" s="1" t="s">
        <v>817</v>
      </c>
      <c r="J216" s="60" t="str" cm="1">
        <f t="array" aca="1" ref="J216" ca="1">_xlfn.XLOOKUP(Assignments[[#This Row],[Company ID]], INDIRECT("'"&amp;Assignments[[#This Row],[Coordinator]]&amp;"'!$B:$B"), INDIRECT("'"&amp;Assignments[[#This Row],[Coordinator]]&amp;"'!$J:$J"), "")</f>
        <v>Confirmed all required paperwork on file once the COI came through the portal. Insurance limits and tax details verified. Onboarding closed out.</v>
      </c>
      <c r="K216" s="12" t="str" cm="1">
        <f t="array" aca="1" ref="K216" ca="1">_xlfn.XLOOKUP(Assignments[[#This Row],[Company ID]], INDIRECT("'"&amp;Assignments[[#This Row],[Coordinator]]&amp;"'!$B:$B"), INDIRECT("'"&amp;Assignments[[#This Row],[Coordinator]]&amp;"'!$K:$K"), "")</f>
        <v>Completion</v>
      </c>
      <c r="L216" s="12" t="b" cm="1">
        <f t="array" aca="1" ref="L216" ca="1">_xlfn.XLOOKUP(Assignments[[#This Row],[Company ID]], INDIRECT("'"&amp;Assignments[[#This Row],[Coordinator]]&amp;"'!$B:$B"), INDIRECT("'"&amp;Assignments[[#This Row],[Coordinator]]&amp;"'!$L:$L"), "")</f>
        <v>1</v>
      </c>
    </row>
    <row r="217" spans="1:12" ht="30" customHeight="1" x14ac:dyDescent="0.25">
      <c r="A217" t="s">
        <v>659</v>
      </c>
      <c r="B217" s="2">
        <v>494625</v>
      </c>
      <c r="C217" t="s">
        <v>818</v>
      </c>
      <c r="D217" s="1" t="s">
        <v>622</v>
      </c>
      <c r="E217" t="b">
        <v>0</v>
      </c>
      <c r="F217" s="5">
        <v>79000</v>
      </c>
      <c r="G217" t="s">
        <v>819</v>
      </c>
      <c r="H217" t="s">
        <v>820</v>
      </c>
      <c r="I217" s="1" t="s">
        <v>821</v>
      </c>
      <c r="J217" s="60" t="str" cm="1">
        <f t="array" aca="1" ref="J217" ca="1">_xlfn.XLOOKUP(Assignments[[#This Row],[Company ID]], INDIRECT("'"&amp;Assignments[[#This Row],[Coordinator]]&amp;"'!$B:$B"), INDIRECT("'"&amp;Assignments[[#This Row],[Coordinator]]&amp;"'!$J:$J"), "")</f>
        <v>Submission of the W-9 stalled because of a legal entity name change working through their system. Contact remains responsive despite the holdup. Re-checking Tuesday.</v>
      </c>
      <c r="K217" s="12" t="str" cm="1">
        <f t="array" aca="1" ref="K217" ca="1">_xlfn.XLOOKUP(Assignments[[#This Row],[Company ID]], INDIRECT("'"&amp;Assignments[[#This Row],[Coordinator]]&amp;"'!$B:$B"), INDIRECT("'"&amp;Assignments[[#This Row],[Coordinator]]&amp;"'!$K:$K"), "")</f>
        <v>Delayed</v>
      </c>
      <c r="L217" s="12" t="b" cm="1">
        <f t="array" aca="1" ref="L217" ca="1">_xlfn.XLOOKUP(Assignments[[#This Row],[Company ID]], INDIRECT("'"&amp;Assignments[[#This Row],[Coordinator]]&amp;"'!$B:$B"), INDIRECT("'"&amp;Assignments[[#This Row],[Coordinator]]&amp;"'!$L:$L"), "")</f>
        <v>0</v>
      </c>
    </row>
    <row r="218" spans="1:12" ht="30" customHeight="1" x14ac:dyDescent="0.25">
      <c r="A218" t="s">
        <v>659</v>
      </c>
      <c r="B218" s="2">
        <v>151262</v>
      </c>
      <c r="C218" t="s">
        <v>822</v>
      </c>
      <c r="D218" s="1" t="s">
        <v>622</v>
      </c>
      <c r="E218" t="b">
        <v>0</v>
      </c>
      <c r="F218" s="5">
        <v>53000</v>
      </c>
      <c r="G218" t="s">
        <v>823</v>
      </c>
      <c r="H218" t="s">
        <v>824</v>
      </c>
      <c r="I218" s="1" t="s">
        <v>825</v>
      </c>
      <c r="J218" s="60" t="str" cm="1">
        <f t="array" aca="1" ref="J218" ca="1">_xlfn.XLOOKUP(Assignments[[#This Row],[Company ID]], INDIRECT("'"&amp;Assignments[[#This Row],[Coordinator]]&amp;"'!$B:$B"), INDIRECT("'"&amp;Assignments[[#This Row],[Coordinator]]&amp;"'!$J:$J"), "")</f>
        <v>Onboarding finalized after a short verification call this Wednesday. Every document is signed, dated, and on file. Ready for service assignment.</v>
      </c>
      <c r="K218" s="12" t="str" cm="1">
        <f t="array" aca="1" ref="K218" ca="1">_xlfn.XLOOKUP(Assignments[[#This Row],[Company ID]], INDIRECT("'"&amp;Assignments[[#This Row],[Coordinator]]&amp;"'!$B:$B"), INDIRECT("'"&amp;Assignments[[#This Row],[Coordinator]]&amp;"'!$K:$K"), "")</f>
        <v>Completion</v>
      </c>
      <c r="L218" s="12" t="b" cm="1">
        <f t="array" aca="1" ref="L218" ca="1">_xlfn.XLOOKUP(Assignments[[#This Row],[Company ID]], INDIRECT("'"&amp;Assignments[[#This Row],[Coordinator]]&amp;"'!$B:$B"), INDIRECT("'"&amp;Assignments[[#This Row],[Coordinator]]&amp;"'!$L:$L"), "")</f>
        <v>1</v>
      </c>
    </row>
    <row r="219" spans="1:12" ht="30" customHeight="1" x14ac:dyDescent="0.25">
      <c r="A219" t="s">
        <v>659</v>
      </c>
      <c r="B219" s="2">
        <v>309544</v>
      </c>
      <c r="C219" t="s">
        <v>826</v>
      </c>
      <c r="D219" s="1" t="s">
        <v>622</v>
      </c>
      <c r="E219" t="b">
        <v>0</v>
      </c>
      <c r="F219" s="5">
        <v>118000</v>
      </c>
      <c r="G219" t="s">
        <v>827</v>
      </c>
      <c r="H219" t="s">
        <v>828</v>
      </c>
      <c r="I219" s="1" t="s">
        <v>829</v>
      </c>
      <c r="J219" s="60" t="str" cm="1">
        <f t="array" aca="1" ref="J219" ca="1">_xlfn.XLOOKUP(Assignments[[#This Row],[Company ID]], INDIRECT("'"&amp;Assignments[[#This Row],[Coordinator]]&amp;"'!$B:$B"), INDIRECT("'"&amp;Assignments[[#This Row],[Coordinator]]&amp;"'!$J:$J"), "")</f>
        <v>Documents delayed — their broker is reissuing the certificate with corrected coverage limits. Contact confirmed the item is in progress. Monitoring and following up Monday.</v>
      </c>
      <c r="K219" s="12" t="str" cm="1">
        <f t="array" aca="1" ref="K219" ca="1">_xlfn.XLOOKUP(Assignments[[#This Row],[Company ID]], INDIRECT("'"&amp;Assignments[[#This Row],[Coordinator]]&amp;"'!$B:$B"), INDIRECT("'"&amp;Assignments[[#This Row],[Coordinator]]&amp;"'!$K:$K"), "")</f>
        <v>Delayed</v>
      </c>
      <c r="L219" s="12" t="b" cm="1">
        <f t="array" aca="1" ref="L219" ca="1">_xlfn.XLOOKUP(Assignments[[#This Row],[Company ID]], INDIRECT("'"&amp;Assignments[[#This Row],[Coordinator]]&amp;"'!$B:$B"), INDIRECT("'"&amp;Assignments[[#This Row],[Coordinator]]&amp;"'!$L:$L"), "")</f>
        <v>0</v>
      </c>
    </row>
    <row r="220" spans="1:12" ht="30" customHeight="1" x14ac:dyDescent="0.25">
      <c r="A220" t="s">
        <v>659</v>
      </c>
      <c r="B220" s="2">
        <v>546459</v>
      </c>
      <c r="C220" t="s">
        <v>830</v>
      </c>
      <c r="D220" s="1" t="s">
        <v>622</v>
      </c>
      <c r="E220" t="b">
        <v>0</v>
      </c>
      <c r="F220" s="5">
        <v>8200</v>
      </c>
      <c r="G220" t="s">
        <v>831</v>
      </c>
      <c r="H220" t="s">
        <v>832</v>
      </c>
      <c r="I220" s="1" t="s">
        <v>833</v>
      </c>
      <c r="J220" s="60" t="str" cm="1">
        <f t="array" aca="1" ref="J220" ca="1">_xlfn.XLOOKUP(Assignments[[#This Row],[Company ID]], INDIRECT("'"&amp;Assignments[[#This Row],[Coordinator]]&amp;"'!$B:$B"), INDIRECT("'"&amp;Assignments[[#This Row],[Coordinator]]&amp;"'!$J:$J"), "")</f>
        <v>The w-9 is delayed due to a pending budget approval on the vendor's end. A short extension was granted and acknowledged. Will re-check status by Thursday.</v>
      </c>
      <c r="K220" s="12" t="str" cm="1">
        <f t="array" aca="1" ref="K220" ca="1">_xlfn.XLOOKUP(Assignments[[#This Row],[Company ID]], INDIRECT("'"&amp;Assignments[[#This Row],[Coordinator]]&amp;"'!$B:$B"), INDIRECT("'"&amp;Assignments[[#This Row],[Coordinator]]&amp;"'!$K:$K"), "")</f>
        <v>Delayed</v>
      </c>
      <c r="L220" s="12" t="b" cm="1">
        <f t="array" aca="1" ref="L220" ca="1">_xlfn.XLOOKUP(Assignments[[#This Row],[Company ID]], INDIRECT("'"&amp;Assignments[[#This Row],[Coordinator]]&amp;"'!$B:$B"), INDIRECT("'"&amp;Assignments[[#This Row],[Coordinator]]&amp;"'!$L:$L"), "")</f>
        <v>0</v>
      </c>
    </row>
    <row r="221" spans="1:12" ht="30" customHeight="1" x14ac:dyDescent="0.25">
      <c r="A221" t="s">
        <v>659</v>
      </c>
      <c r="B221" s="2">
        <v>114714</v>
      </c>
      <c r="C221" t="s">
        <v>834</v>
      </c>
      <c r="D221" s="1" t="s">
        <v>622</v>
      </c>
      <c r="E221" t="b">
        <v>0</v>
      </c>
      <c r="F221" s="5">
        <v>9100</v>
      </c>
      <c r="G221" t="s">
        <v>835</v>
      </c>
      <c r="H221" t="s">
        <v>836</v>
      </c>
      <c r="I221" s="1" t="s">
        <v>837</v>
      </c>
      <c r="J221" s="60" t="str" cm="1">
        <f t="array" aca="1" ref="J221" ca="1">_xlfn.XLOOKUP(Assignments[[#This Row],[Company ID]], INDIRECT("'"&amp;Assignments[[#This Row],[Coordinator]]&amp;"'!$B:$B"), INDIRECT("'"&amp;Assignments[[#This Row],[Coordinator]]&amp;"'!$J:$J"), "")</f>
        <v>Contact uploaded the COI and the Spend authorization; the W-9 to follow once signed. Communication has been solid. Next check-in next week.</v>
      </c>
      <c r="K221" s="12" t="str" cm="1">
        <f t="array" aca="1" ref="K221" ca="1">_xlfn.XLOOKUP(Assignments[[#This Row],[Company ID]], INDIRECT("'"&amp;Assignments[[#This Row],[Coordinator]]&amp;"'!$B:$B"), INDIRECT("'"&amp;Assignments[[#This Row],[Coordinator]]&amp;"'!$K:$K"), "")</f>
        <v>Received</v>
      </c>
      <c r="L221" s="12" t="str" cm="1">
        <f t="array" aca="1" ref="L221" ca="1">_xlfn.XLOOKUP(Assignments[[#This Row],[Company ID]], INDIRECT("'"&amp;Assignments[[#This Row],[Coordinator]]&amp;"'!$B:$B"), INDIRECT("'"&amp;Assignments[[#This Row],[Coordinator]]&amp;"'!$L:$L"), "")</f>
        <v>RECEIVED</v>
      </c>
    </row>
    <row r="222" spans="1:12" ht="30" customHeight="1" x14ac:dyDescent="0.25">
      <c r="A222" t="s">
        <v>659</v>
      </c>
      <c r="B222" s="2">
        <v>172884</v>
      </c>
      <c r="C222" t="s">
        <v>838</v>
      </c>
      <c r="D222" s="1" t="s">
        <v>622</v>
      </c>
      <c r="E222" t="b">
        <v>0</v>
      </c>
      <c r="F222" s="5">
        <v>12000</v>
      </c>
      <c r="G222" t="s">
        <v>839</v>
      </c>
      <c r="H222" t="s">
        <v>840</v>
      </c>
      <c r="I222" s="1" t="s">
        <v>841</v>
      </c>
      <c r="J222" s="60" t="str" cm="1">
        <f t="array" aca="1" ref="J222" ca="1">_xlfn.XLOOKUP(Assignments[[#This Row],[Company ID]], INDIRECT("'"&amp;Assignments[[#This Row],[Coordinator]]&amp;"'!$B:$B"), INDIRECT("'"&amp;Assignments[[#This Row],[Coordinator]]&amp;"'!$J:$J"), "")</f>
        <v>Submission of the W-9 stalled because of a holiday closure at the vendor's corporate office. Contact remains responsive despite the holdup. Re-checking next week.</v>
      </c>
      <c r="K222" s="12" t="str" cm="1">
        <f t="array" aca="1" ref="K222" ca="1">_xlfn.XLOOKUP(Assignments[[#This Row],[Company ID]], INDIRECT("'"&amp;Assignments[[#This Row],[Coordinator]]&amp;"'!$B:$B"), INDIRECT("'"&amp;Assignments[[#This Row],[Coordinator]]&amp;"'!$K:$K"), "")</f>
        <v>Delayed</v>
      </c>
      <c r="L222" s="12" t="b" cm="1">
        <f t="array" aca="1" ref="L222" ca="1">_xlfn.XLOOKUP(Assignments[[#This Row],[Company ID]], INDIRECT("'"&amp;Assignments[[#This Row],[Coordinator]]&amp;"'!$B:$B"), INDIRECT("'"&amp;Assignments[[#This Row],[Coordinator]]&amp;"'!$L:$L"), "")</f>
        <v>0</v>
      </c>
    </row>
    <row r="223" spans="1:12" ht="30" customHeight="1" x14ac:dyDescent="0.25">
      <c r="A223" t="s">
        <v>659</v>
      </c>
      <c r="B223" s="2">
        <v>320436</v>
      </c>
      <c r="C223" t="s">
        <v>842</v>
      </c>
      <c r="D223" s="1" t="s">
        <v>230</v>
      </c>
      <c r="E223" t="b">
        <v>0</v>
      </c>
      <c r="F223" s="5">
        <v>26300</v>
      </c>
      <c r="G223" t="s">
        <v>387</v>
      </c>
      <c r="H223" t="s">
        <v>124</v>
      </c>
      <c r="I223" s="1" t="s">
        <v>843</v>
      </c>
      <c r="J223" s="60" t="str" cm="1">
        <f t="array" aca="1" ref="J223" ca="1">_xlfn.XLOOKUP(Assignments[[#This Row],[Company ID]], INDIRECT("'"&amp;Assignments[[#This Row],[Coordinator]]&amp;"'!$B:$B"), INDIRECT("'"&amp;Assignments[[#This Row],[Coordinator]]&amp;"'!$J:$J"), "")</f>
        <v>The spend authorization held up because of an unexpected staffing gap after the contact went on leave. Contact is actively working it and apologized for the lag. New target is next week.</v>
      </c>
      <c r="K223" s="12" t="str" cm="1">
        <f t="array" aca="1" ref="K223" ca="1">_xlfn.XLOOKUP(Assignments[[#This Row],[Company ID]], INDIRECT("'"&amp;Assignments[[#This Row],[Coordinator]]&amp;"'!$B:$B"), INDIRECT("'"&amp;Assignments[[#This Row],[Coordinator]]&amp;"'!$K:$K"), "")</f>
        <v>Delayed</v>
      </c>
      <c r="L223" s="12" t="b" cm="1">
        <f t="array" aca="1" ref="L223" ca="1">_xlfn.XLOOKUP(Assignments[[#This Row],[Company ID]], INDIRECT("'"&amp;Assignments[[#This Row],[Coordinator]]&amp;"'!$B:$B"), INDIRECT("'"&amp;Assignments[[#This Row],[Coordinator]]&amp;"'!$L:$L"), "")</f>
        <v>0</v>
      </c>
    </row>
    <row r="224" spans="1:12" ht="30" customHeight="1" x14ac:dyDescent="0.25">
      <c r="A224" t="s">
        <v>659</v>
      </c>
      <c r="B224" s="2">
        <v>516512</v>
      </c>
      <c r="C224" t="s">
        <v>844</v>
      </c>
      <c r="D224" s="1" t="s">
        <v>230</v>
      </c>
      <c r="E224" t="b">
        <v>0</v>
      </c>
      <c r="F224" s="5">
        <v>51700</v>
      </c>
      <c r="G224" t="s">
        <v>845</v>
      </c>
      <c r="H224" t="s">
        <v>846</v>
      </c>
      <c r="I224" s="1" t="s">
        <v>847</v>
      </c>
      <c r="J224" s="60" t="str" cm="1">
        <f t="array" aca="1" ref="J224" ca="1">_xlfn.XLOOKUP(Assignments[[#This Row],[Company ID]], INDIRECT("'"&amp;Assignments[[#This Row],[Coordinator]]&amp;"'!$B:$B"), INDIRECT("'"&amp;Assignments[[#This Row],[Coordinator]]&amp;"'!$J:$J"), "")</f>
        <v>All onboarding documents — COI, W-9, and Spend authorization — are received and verified, with the Spend authorization arriving last. Compliance review passed with no exceptions. Vendor is fully onboarded and cleared for service.</v>
      </c>
      <c r="K224" s="12" t="str" cm="1">
        <f t="array" aca="1" ref="K224" ca="1">_xlfn.XLOOKUP(Assignments[[#This Row],[Company ID]], INDIRECT("'"&amp;Assignments[[#This Row],[Coordinator]]&amp;"'!$B:$B"), INDIRECT("'"&amp;Assignments[[#This Row],[Coordinator]]&amp;"'!$K:$K"), "")</f>
        <v>Completion</v>
      </c>
      <c r="L224" s="12" t="b" cm="1">
        <f t="array" aca="1" ref="L224" ca="1">_xlfn.XLOOKUP(Assignments[[#This Row],[Company ID]], INDIRECT("'"&amp;Assignments[[#This Row],[Coordinator]]&amp;"'!$B:$B"), INDIRECT("'"&amp;Assignments[[#This Row],[Coordinator]]&amp;"'!$L:$L"), "")</f>
        <v>1</v>
      </c>
    </row>
    <row r="225" spans="1:12" ht="30" customHeight="1" x14ac:dyDescent="0.25">
      <c r="A225" t="s">
        <v>659</v>
      </c>
      <c r="B225" s="2">
        <v>182479</v>
      </c>
      <c r="C225" t="s">
        <v>848</v>
      </c>
      <c r="D225" s="1" t="s">
        <v>230</v>
      </c>
      <c r="E225" t="b">
        <v>0</v>
      </c>
      <c r="F225" s="5">
        <v>35800</v>
      </c>
      <c r="G225" t="s">
        <v>849</v>
      </c>
      <c r="H225" t="s">
        <v>850</v>
      </c>
      <c r="I225" s="1" t="s">
        <v>851</v>
      </c>
      <c r="J225" s="60" t="str" cm="1">
        <f t="array" aca="1" ref="J225" ca="1">_xlfn.XLOOKUP(Assignments[[#This Row],[Company ID]], INDIRECT("'"&amp;Assignments[[#This Row],[Coordinator]]&amp;"'!$B:$B"), INDIRECT("'"&amp;Assignments[[#This Row],[Coordinator]]&amp;"'!$J:$J"), "")</f>
        <v>Everything is in — the Spend authorization arrived this Tuesday and matched our records. Contact was proactive throughout. Onboarding complete.</v>
      </c>
      <c r="K225" s="12" t="str" cm="1">
        <f t="array" aca="1" ref="K225" ca="1">_xlfn.XLOOKUP(Assignments[[#This Row],[Company ID]], INDIRECT("'"&amp;Assignments[[#This Row],[Coordinator]]&amp;"'!$B:$B"), INDIRECT("'"&amp;Assignments[[#This Row],[Coordinator]]&amp;"'!$K:$K"), "")</f>
        <v>Completion</v>
      </c>
      <c r="L225" s="12" t="b" cm="1">
        <f t="array" aca="1" ref="L225" ca="1">_xlfn.XLOOKUP(Assignments[[#This Row],[Company ID]], INDIRECT("'"&amp;Assignments[[#This Row],[Coordinator]]&amp;"'!$B:$B"), INDIRECT("'"&amp;Assignments[[#This Row],[Coordinator]]&amp;"'!$L:$L"), "")</f>
        <v>1</v>
      </c>
    </row>
    <row r="226" spans="1:12" ht="30" customHeight="1" x14ac:dyDescent="0.25">
      <c r="A226" t="s">
        <v>659</v>
      </c>
      <c r="B226" s="2">
        <v>363730</v>
      </c>
      <c r="C226" t="s">
        <v>852</v>
      </c>
      <c r="D226" s="1" t="s">
        <v>647</v>
      </c>
      <c r="E226" t="b">
        <v>0</v>
      </c>
      <c r="F226" s="5">
        <v>12000</v>
      </c>
      <c r="G226" t="s">
        <v>853</v>
      </c>
      <c r="H226" t="s">
        <v>854</v>
      </c>
      <c r="I226" s="1" t="s">
        <v>855</v>
      </c>
      <c r="J226" s="60" t="str" cm="1">
        <f t="array" aca="1" ref="J226" ca="1">_xlfn.XLOOKUP(Assignments[[#This Row],[Company ID]], INDIRECT("'"&amp;Assignments[[#This Row],[Coordinator]]&amp;"'!$B:$B"), INDIRECT("'"&amp;Assignments[[#This Row],[Coordinator]]&amp;"'!$J:$J"), "")</f>
        <v>Awaiting the COI, which the contact committed to sending by end of day. The rest of the packet is complete. EOD verification scheduled.</v>
      </c>
      <c r="K226" s="12" t="str" cm="1">
        <f t="array" aca="1" ref="K226" ca="1">_xlfn.XLOOKUP(Assignments[[#This Row],[Company ID]], INDIRECT("'"&amp;Assignments[[#This Row],[Coordinator]]&amp;"'!$B:$B"), INDIRECT("'"&amp;Assignments[[#This Row],[Coordinator]]&amp;"'!$K:$K"), "")</f>
        <v>Delayed – EOD</v>
      </c>
      <c r="L226" s="12" t="b" cm="1">
        <f t="array" aca="1" ref="L226" ca="1">_xlfn.XLOOKUP(Assignments[[#This Row],[Company ID]], INDIRECT("'"&amp;Assignments[[#This Row],[Coordinator]]&amp;"'!$B:$B"), INDIRECT("'"&amp;Assignments[[#This Row],[Coordinator]]&amp;"'!$L:$L"), "")</f>
        <v>0</v>
      </c>
    </row>
    <row r="227" spans="1:12" ht="30" customHeight="1" x14ac:dyDescent="0.25">
      <c r="A227" t="s">
        <v>659</v>
      </c>
      <c r="B227" s="2">
        <v>990900</v>
      </c>
      <c r="C227" t="s">
        <v>856</v>
      </c>
      <c r="D227" s="1" t="s">
        <v>647</v>
      </c>
      <c r="E227" t="b">
        <v>0</v>
      </c>
      <c r="F227" s="5">
        <v>2000</v>
      </c>
      <c r="G227" t="s">
        <v>857</v>
      </c>
      <c r="H227" t="s">
        <v>858</v>
      </c>
      <c r="I227" s="1" t="s">
        <v>859</v>
      </c>
      <c r="J227" s="60" t="str" cm="1">
        <f t="array" aca="1" ref="J227" ca="1">_xlfn.XLOOKUP(Assignments[[#This Row],[Company ID]], INDIRECT("'"&amp;Assignments[[#This Row],[Coordinator]]&amp;"'!$B:$B"), INDIRECT("'"&amp;Assignments[[#This Row],[Coordinator]]&amp;"'!$J:$J"), "")</f>
        <v>The coi and the w-9 cleared compliance review. The spend authorization was flagged as still needed and re-requested. Contact responsive and engaged.</v>
      </c>
      <c r="K227" s="12" t="str" cm="1">
        <f t="array" aca="1" ref="K227" ca="1">_xlfn.XLOOKUP(Assignments[[#This Row],[Company ID]], INDIRECT("'"&amp;Assignments[[#This Row],[Coordinator]]&amp;"'!$B:$B"), INDIRECT("'"&amp;Assignments[[#This Row],[Coordinator]]&amp;"'!$K:$K"), "")</f>
        <v>Received</v>
      </c>
      <c r="L227" s="12" t="str" cm="1">
        <f t="array" aca="1" ref="L227" ca="1">_xlfn.XLOOKUP(Assignments[[#This Row],[Company ID]], INDIRECT("'"&amp;Assignments[[#This Row],[Coordinator]]&amp;"'!$B:$B"), INDIRECT("'"&amp;Assignments[[#This Row],[Coordinator]]&amp;"'!$L:$L"), "")</f>
        <v>RECEIVED</v>
      </c>
    </row>
    <row r="228" spans="1:12" ht="30" customHeight="1" x14ac:dyDescent="0.25">
      <c r="A228" t="s">
        <v>659</v>
      </c>
      <c r="B228" s="2">
        <v>748655</v>
      </c>
      <c r="C228" t="s">
        <v>860</v>
      </c>
      <c r="D228" s="1" t="s">
        <v>647</v>
      </c>
      <c r="E228" t="b">
        <v>0</v>
      </c>
      <c r="F228" s="5">
        <v>17200</v>
      </c>
      <c r="G228" t="s">
        <v>861</v>
      </c>
      <c r="H228" t="s">
        <v>237</v>
      </c>
      <c r="I228" s="1" t="s">
        <v>862</v>
      </c>
      <c r="J228" s="60" t="str" cm="1">
        <f t="array" aca="1" ref="J228" ca="1">_xlfn.XLOOKUP(Assignments[[#This Row],[Company ID]], INDIRECT("'"&amp;Assignments[[#This Row],[Coordinator]]&amp;"'!$B:$B"), INDIRECT("'"&amp;Assignments[[#This Row],[Coordinator]]&amp;"'!$J:$J"), "")</f>
        <v>The coi is delayed due to a vendor-side system migration that temporarily locked their files. A short extension was granted and acknowledged. Will re-check status by Monday.</v>
      </c>
      <c r="K228" s="12" t="str" cm="1">
        <f t="array" aca="1" ref="K228" ca="1">_xlfn.XLOOKUP(Assignments[[#This Row],[Company ID]], INDIRECT("'"&amp;Assignments[[#This Row],[Coordinator]]&amp;"'!$B:$B"), INDIRECT("'"&amp;Assignments[[#This Row],[Coordinator]]&amp;"'!$K:$K"), "")</f>
        <v>Delayed</v>
      </c>
      <c r="L228" s="12" t="b" cm="1">
        <f t="array" aca="1" ref="L228" ca="1">_xlfn.XLOOKUP(Assignments[[#This Row],[Company ID]], INDIRECT("'"&amp;Assignments[[#This Row],[Coordinator]]&amp;"'!$B:$B"), INDIRECT("'"&amp;Assignments[[#This Row],[Coordinator]]&amp;"'!$L:$L"), "")</f>
        <v>0</v>
      </c>
    </row>
    <row r="229" spans="1:12" ht="30" customHeight="1" x14ac:dyDescent="0.25">
      <c r="A229" t="s">
        <v>659</v>
      </c>
      <c r="B229" s="2">
        <v>923560</v>
      </c>
      <c r="C229" t="s">
        <v>863</v>
      </c>
      <c r="D229" s="1" t="s">
        <v>647</v>
      </c>
      <c r="E229" t="b">
        <v>0</v>
      </c>
      <c r="F229" s="5">
        <v>23200</v>
      </c>
      <c r="G229" t="s">
        <v>864</v>
      </c>
      <c r="H229" t="s">
        <v>865</v>
      </c>
      <c r="I229" s="1" t="s">
        <v>866</v>
      </c>
      <c r="J229" s="60" t="str" cm="1">
        <f t="array" aca="1" ref="J229" ca="1">_xlfn.XLOOKUP(Assignments[[#This Row],[Company ID]], INDIRECT("'"&amp;Assignments[[#This Row],[Coordinator]]&amp;"'!$B:$B"), INDIRECT("'"&amp;Assignments[[#This Row],[Coordinator]]&amp;"'!$J:$J"), "")</f>
        <v>Full document set received and reconciled against the master vendor record; the Spend authorization needed a quick correction, now resolved. No further discrepancies found. Onboarding officially complete.</v>
      </c>
      <c r="K229" s="12" t="str" cm="1">
        <f t="array" aca="1" ref="K229" ca="1">_xlfn.XLOOKUP(Assignments[[#This Row],[Company ID]], INDIRECT("'"&amp;Assignments[[#This Row],[Coordinator]]&amp;"'!$B:$B"), INDIRECT("'"&amp;Assignments[[#This Row],[Coordinator]]&amp;"'!$K:$K"), "")</f>
        <v>Completion</v>
      </c>
      <c r="L229" s="12" t="b" cm="1">
        <f t="array" aca="1" ref="L229" ca="1">_xlfn.XLOOKUP(Assignments[[#This Row],[Company ID]], INDIRECT("'"&amp;Assignments[[#This Row],[Coordinator]]&amp;"'!$B:$B"), INDIRECT("'"&amp;Assignments[[#This Row],[Coordinator]]&amp;"'!$L:$L"), "")</f>
        <v>1</v>
      </c>
    </row>
    <row r="230" spans="1:12" ht="30" customHeight="1" x14ac:dyDescent="0.25">
      <c r="A230" t="s">
        <v>867</v>
      </c>
      <c r="B230" s="2">
        <v>719982</v>
      </c>
      <c r="C230" t="s">
        <v>868</v>
      </c>
      <c r="D230" s="1" t="s">
        <v>28</v>
      </c>
      <c r="E230" t="b">
        <v>1</v>
      </c>
      <c r="F230" s="5">
        <v>316600</v>
      </c>
      <c r="G230" t="s">
        <v>869</v>
      </c>
      <c r="H230" t="s">
        <v>870</v>
      </c>
      <c r="I230" s="1" t="s">
        <v>871</v>
      </c>
      <c r="J230" s="60" t="str" cm="1">
        <f t="array" aca="1" ref="J230" ca="1">_xlfn.XLOOKUP(Assignments[[#This Row],[Company ID]], INDIRECT("'"&amp;Assignments[[#This Row],[Coordinator]]&amp;"'!$B:$B"), INDIRECT("'"&amp;Assignments[[#This Row],[Coordinator]]&amp;"'!$J:$J"), "")</f>
        <v>The coi and the spend authorization cleared compliance review. The w-9 was flagged as still needed and re-requested. Contact responsive and engaged.</v>
      </c>
      <c r="K230" s="12" t="str" cm="1">
        <f t="array" aca="1" ref="K230" ca="1">_xlfn.XLOOKUP(Assignments[[#This Row],[Company ID]], INDIRECT("'"&amp;Assignments[[#This Row],[Coordinator]]&amp;"'!$B:$B"), INDIRECT("'"&amp;Assignments[[#This Row],[Coordinator]]&amp;"'!$K:$K"), "")</f>
        <v>Received</v>
      </c>
      <c r="L230" s="12" t="str" cm="1">
        <f t="array" aca="1" ref="L230" ca="1">_xlfn.XLOOKUP(Assignments[[#This Row],[Company ID]], INDIRECT("'"&amp;Assignments[[#This Row],[Coordinator]]&amp;"'!$B:$B"), INDIRECT("'"&amp;Assignments[[#This Row],[Coordinator]]&amp;"'!$L:$L"), "")</f>
        <v>RECEIVED</v>
      </c>
    </row>
    <row r="231" spans="1:12" ht="30" customHeight="1" x14ac:dyDescent="0.25">
      <c r="A231" t="s">
        <v>867</v>
      </c>
      <c r="B231" s="2">
        <v>404159</v>
      </c>
      <c r="C231" t="s">
        <v>872</v>
      </c>
      <c r="D231" s="1" t="s">
        <v>118</v>
      </c>
      <c r="E231" t="b">
        <v>1</v>
      </c>
      <c r="F231" s="5">
        <v>173900</v>
      </c>
      <c r="G231" t="s">
        <v>873</v>
      </c>
      <c r="H231" t="s">
        <v>874</v>
      </c>
      <c r="I231" s="1" t="s">
        <v>875</v>
      </c>
      <c r="J231" s="60" t="str" cm="1">
        <f t="array" aca="1" ref="J231" ca="1">_xlfn.XLOOKUP(Assignments[[#This Row],[Company ID]], INDIRECT("'"&amp;Assignments[[#This Row],[Coordinator]]&amp;"'!$B:$B"), INDIRECT("'"&amp;Assignments[[#This Row],[Coordinator]]&amp;"'!$J:$J"), "")</f>
        <v>Full document set received and reconciled against the master vendor record; the COI needed a quick correction, now resolved. No further discrepancies found. Onboarding officially complete.</v>
      </c>
      <c r="K231" s="12" t="str" cm="1">
        <f t="array" aca="1" ref="K231" ca="1">_xlfn.XLOOKUP(Assignments[[#This Row],[Company ID]], INDIRECT("'"&amp;Assignments[[#This Row],[Coordinator]]&amp;"'!$B:$B"), INDIRECT("'"&amp;Assignments[[#This Row],[Coordinator]]&amp;"'!$K:$K"), "")</f>
        <v>Completion</v>
      </c>
      <c r="L231" s="12" t="b" cm="1">
        <f t="array" aca="1" ref="L231" ca="1">_xlfn.XLOOKUP(Assignments[[#This Row],[Company ID]], INDIRECT("'"&amp;Assignments[[#This Row],[Coordinator]]&amp;"'!$B:$B"), INDIRECT("'"&amp;Assignments[[#This Row],[Coordinator]]&amp;"'!$L:$L"), "")</f>
        <v>1</v>
      </c>
    </row>
    <row r="232" spans="1:12" ht="30" customHeight="1" x14ac:dyDescent="0.25">
      <c r="A232" t="s">
        <v>867</v>
      </c>
      <c r="B232" s="2">
        <v>460779</v>
      </c>
      <c r="C232" t="s">
        <v>876</v>
      </c>
      <c r="D232" s="1" t="s">
        <v>118</v>
      </c>
      <c r="E232" t="b">
        <v>1</v>
      </c>
      <c r="F232" s="5">
        <v>460300</v>
      </c>
      <c r="G232" t="s">
        <v>877</v>
      </c>
      <c r="H232" t="s">
        <v>878</v>
      </c>
      <c r="I232" s="1" t="s">
        <v>879</v>
      </c>
      <c r="J232" s="60" t="str" cm="1">
        <f t="array" aca="1" ref="J232" ca="1">_xlfn.XLOOKUP(Assignments[[#This Row],[Company ID]], INDIRECT("'"&amp;Assignments[[#This Row],[Coordinator]]&amp;"'!$B:$B"), INDIRECT("'"&amp;Assignments[[#This Row],[Coordinator]]&amp;"'!$J:$J"), "")</f>
        <v>Received the COI and the Spend authorization through the portal today; the W-9 still pending. Contact acknowledged the request and is gathering the paperwork. Checking back Monday.</v>
      </c>
      <c r="K232" s="12" t="str" cm="1">
        <f t="array" aca="1" ref="K232" ca="1">_xlfn.XLOOKUP(Assignments[[#This Row],[Company ID]], INDIRECT("'"&amp;Assignments[[#This Row],[Coordinator]]&amp;"'!$B:$B"), INDIRECT("'"&amp;Assignments[[#This Row],[Coordinator]]&amp;"'!$K:$K"), "")</f>
        <v>Received</v>
      </c>
      <c r="L232" s="12" t="str" cm="1">
        <f t="array" aca="1" ref="L232" ca="1">_xlfn.XLOOKUP(Assignments[[#This Row],[Company ID]], INDIRECT("'"&amp;Assignments[[#This Row],[Coordinator]]&amp;"'!$B:$B"), INDIRECT("'"&amp;Assignments[[#This Row],[Coordinator]]&amp;"'!$L:$L"), "")</f>
        <v>RECEIVED</v>
      </c>
    </row>
    <row r="233" spans="1:12" ht="30" customHeight="1" x14ac:dyDescent="0.25">
      <c r="A233" t="s">
        <v>867</v>
      </c>
      <c r="B233" s="2">
        <v>203152</v>
      </c>
      <c r="C233" t="s">
        <v>880</v>
      </c>
      <c r="D233" s="1" t="s">
        <v>143</v>
      </c>
      <c r="E233" t="b">
        <v>1</v>
      </c>
      <c r="F233" s="5">
        <v>336300</v>
      </c>
      <c r="G233" t="s">
        <v>881</v>
      </c>
      <c r="H233" t="s">
        <v>882</v>
      </c>
      <c r="I233" s="1" t="s">
        <v>883</v>
      </c>
      <c r="J233" s="60" t="str" cm="1">
        <f t="array" aca="1" ref="J233" ca="1">_xlfn.XLOOKUP(Assignments[[#This Row],[Company ID]], INDIRECT("'"&amp;Assignments[[#This Row],[Coordinator]]&amp;"'!$B:$B"), INDIRECT("'"&amp;Assignments[[#This Row],[Coordinator]]&amp;"'!$J:$J"), "")</f>
        <v>Partial packet in — the COI and the Spend authorization on file and within requirements. Awaiting the W-9 from the vendor's team. Reminder set for next week.</v>
      </c>
      <c r="K233" s="12" t="str" cm="1">
        <f t="array" aca="1" ref="K233" ca="1">_xlfn.XLOOKUP(Assignments[[#This Row],[Company ID]], INDIRECT("'"&amp;Assignments[[#This Row],[Coordinator]]&amp;"'!$B:$B"), INDIRECT("'"&amp;Assignments[[#This Row],[Coordinator]]&amp;"'!$K:$K"), "")</f>
        <v>Received</v>
      </c>
      <c r="L233" s="12" t="str" cm="1">
        <f t="array" aca="1" ref="L233" ca="1">_xlfn.XLOOKUP(Assignments[[#This Row],[Company ID]], INDIRECT("'"&amp;Assignments[[#This Row],[Coordinator]]&amp;"'!$B:$B"), INDIRECT("'"&amp;Assignments[[#This Row],[Coordinator]]&amp;"'!$L:$L"), "")</f>
        <v>RECEIVED</v>
      </c>
    </row>
    <row r="234" spans="1:12" ht="30" customHeight="1" x14ac:dyDescent="0.25">
      <c r="A234" t="s">
        <v>867</v>
      </c>
      <c r="B234" s="2">
        <v>521611</v>
      </c>
      <c r="C234" t="s">
        <v>884</v>
      </c>
      <c r="D234" s="1" t="s">
        <v>160</v>
      </c>
      <c r="E234" t="b">
        <v>1</v>
      </c>
      <c r="F234" s="5">
        <v>20200</v>
      </c>
      <c r="G234" t="s">
        <v>885</v>
      </c>
      <c r="H234" t="s">
        <v>886</v>
      </c>
      <c r="I234" s="1" t="s">
        <v>887</v>
      </c>
      <c r="J234" s="60" t="str" cm="1">
        <f t="array" aca="1" ref="J234" ca="1">_xlfn.XLOOKUP(Assignments[[#This Row],[Company ID]], INDIRECT("'"&amp;Assignments[[#This Row],[Coordinator]]&amp;"'!$B:$B"), INDIRECT("'"&amp;Assignments[[#This Row],[Coordinator]]&amp;"'!$J:$J"), "")</f>
        <v>Good progress — the Spend authorization confirmed and filed. The w-9 and the coi sits in the vendor's internal approval queue, expected by Thursday. No concerns yet.</v>
      </c>
      <c r="K234" s="12" t="str" cm="1">
        <f t="array" aca="1" ref="K234" ca="1">_xlfn.XLOOKUP(Assignments[[#This Row],[Company ID]], INDIRECT("'"&amp;Assignments[[#This Row],[Coordinator]]&amp;"'!$B:$B"), INDIRECT("'"&amp;Assignments[[#This Row],[Coordinator]]&amp;"'!$K:$K"), "")</f>
        <v>Received</v>
      </c>
      <c r="L234" s="12" t="str" cm="1">
        <f t="array" aca="1" ref="L234" ca="1">_xlfn.XLOOKUP(Assignments[[#This Row],[Company ID]], INDIRECT("'"&amp;Assignments[[#This Row],[Coordinator]]&amp;"'!$B:$B"), INDIRECT("'"&amp;Assignments[[#This Row],[Coordinator]]&amp;"'!$L:$L"), "")</f>
        <v>RECEIVED</v>
      </c>
    </row>
    <row r="235" spans="1:12" ht="30" customHeight="1" x14ac:dyDescent="0.25">
      <c r="A235" t="s">
        <v>867</v>
      </c>
      <c r="B235" s="2">
        <v>187100</v>
      </c>
      <c r="C235" t="s">
        <v>888</v>
      </c>
      <c r="D235" s="1" t="s">
        <v>160</v>
      </c>
      <c r="E235" t="b">
        <v>1</v>
      </c>
      <c r="F235" s="5">
        <v>10100</v>
      </c>
      <c r="G235" t="s">
        <v>889</v>
      </c>
      <c r="H235" t="s">
        <v>890</v>
      </c>
      <c r="I235" s="1" t="s">
        <v>891</v>
      </c>
      <c r="J235" s="60" t="str" cm="1">
        <f t="array" aca="1" ref="J235" ca="1">_xlfn.XLOOKUP(Assignments[[#This Row],[Company ID]], INDIRECT("'"&amp;Assignments[[#This Row],[Coordinator]]&amp;"'!$B:$B"), INDIRECT("'"&amp;Assignments[[#This Row],[Coordinator]]&amp;"'!$J:$J"), "")</f>
        <v>Received the COI through the portal today; the W-9 and the Spend authorization still pending. Contact acknowledged the request and is gathering the paperwork. Checking back Tuesday.</v>
      </c>
      <c r="K235" s="12" t="str" cm="1">
        <f t="array" aca="1" ref="K235" ca="1">_xlfn.XLOOKUP(Assignments[[#This Row],[Company ID]], INDIRECT("'"&amp;Assignments[[#This Row],[Coordinator]]&amp;"'!$B:$B"), INDIRECT("'"&amp;Assignments[[#This Row],[Coordinator]]&amp;"'!$K:$K"), "")</f>
        <v>Received</v>
      </c>
      <c r="L235" s="12" t="str" cm="1">
        <f t="array" aca="1" ref="L235" ca="1">_xlfn.XLOOKUP(Assignments[[#This Row],[Company ID]], INDIRECT("'"&amp;Assignments[[#This Row],[Coordinator]]&amp;"'!$B:$B"), INDIRECT("'"&amp;Assignments[[#This Row],[Coordinator]]&amp;"'!$L:$L"), "")</f>
        <v>RECEIVED</v>
      </c>
    </row>
    <row r="236" spans="1:12" ht="30" customHeight="1" x14ac:dyDescent="0.25">
      <c r="A236" t="s">
        <v>867</v>
      </c>
      <c r="B236" s="2">
        <v>147434</v>
      </c>
      <c r="C236" t="s">
        <v>892</v>
      </c>
      <c r="D236" s="1" t="s">
        <v>160</v>
      </c>
      <c r="E236" t="b">
        <v>1</v>
      </c>
      <c r="F236" s="5">
        <v>14600</v>
      </c>
      <c r="G236" t="s">
        <v>893</v>
      </c>
      <c r="H236" t="s">
        <v>894</v>
      </c>
      <c r="I236" s="1" t="s">
        <v>895</v>
      </c>
      <c r="J236" s="60" t="str" cm="1">
        <f t="array" aca="1" ref="J236" ca="1">_xlfn.XLOOKUP(Assignments[[#This Row],[Company ID]], INDIRECT("'"&amp;Assignments[[#This Row],[Coordinator]]&amp;"'!$B:$B"), INDIRECT("'"&amp;Assignments[[#This Row],[Coordinator]]&amp;"'!$J:$J"), "")</f>
        <v>Received and accepted the COI, closing out the packet. No exceptions in compliance review. Vendor status set to active.</v>
      </c>
      <c r="K236" s="12" t="str" cm="1">
        <f t="array" aca="1" ref="K236" ca="1">_xlfn.XLOOKUP(Assignments[[#This Row],[Company ID]], INDIRECT("'"&amp;Assignments[[#This Row],[Coordinator]]&amp;"'!$B:$B"), INDIRECT("'"&amp;Assignments[[#This Row],[Coordinator]]&amp;"'!$K:$K"), "")</f>
        <v>Completion</v>
      </c>
      <c r="L236" s="12" t="b" cm="1">
        <f t="array" aca="1" ref="L236" ca="1">_xlfn.XLOOKUP(Assignments[[#This Row],[Company ID]], INDIRECT("'"&amp;Assignments[[#This Row],[Coordinator]]&amp;"'!$B:$B"), INDIRECT("'"&amp;Assignments[[#This Row],[Coordinator]]&amp;"'!$L:$L"), "")</f>
        <v>1</v>
      </c>
    </row>
    <row r="237" spans="1:12" ht="30" customHeight="1" x14ac:dyDescent="0.25">
      <c r="A237" t="s">
        <v>867</v>
      </c>
      <c r="B237" s="2">
        <v>614750</v>
      </c>
      <c r="C237" t="s">
        <v>896</v>
      </c>
      <c r="D237" s="1" t="s">
        <v>206</v>
      </c>
      <c r="E237" t="b">
        <v>0</v>
      </c>
      <c r="F237" s="5">
        <v>99800</v>
      </c>
      <c r="G237" t="s">
        <v>897</v>
      </c>
      <c r="H237" t="s">
        <v>898</v>
      </c>
      <c r="I237" s="1" t="s">
        <v>899</v>
      </c>
      <c r="J237" s="60" t="str" cm="1">
        <f t="array" aca="1" ref="J237" ca="1">_xlfn.XLOOKUP(Assignments[[#This Row],[Company ID]], INDIRECT("'"&amp;Assignments[[#This Row],[Coordinator]]&amp;"'!$B:$B"), INDIRECT("'"&amp;Assignments[[#This Row],[Coordinator]]&amp;"'!$J:$J"), "")</f>
        <v>Received the COI and the W-9 through the portal today; the Spend authorization still pending. Contact acknowledged the request and is gathering the paperwork. Checking back Thursday.</v>
      </c>
      <c r="K237" s="12" t="str" cm="1">
        <f t="array" aca="1" ref="K237" ca="1">_xlfn.XLOOKUP(Assignments[[#This Row],[Company ID]], INDIRECT("'"&amp;Assignments[[#This Row],[Coordinator]]&amp;"'!$B:$B"), INDIRECT("'"&amp;Assignments[[#This Row],[Coordinator]]&amp;"'!$K:$K"), "")</f>
        <v>Received</v>
      </c>
      <c r="L237" s="12" t="str" cm="1">
        <f t="array" aca="1" ref="L237" ca="1">_xlfn.XLOOKUP(Assignments[[#This Row],[Company ID]], INDIRECT("'"&amp;Assignments[[#This Row],[Coordinator]]&amp;"'!$B:$B"), INDIRECT("'"&amp;Assignments[[#This Row],[Coordinator]]&amp;"'!$L:$L"), "")</f>
        <v>RECEIVED</v>
      </c>
    </row>
    <row r="238" spans="1:12" ht="30" customHeight="1" x14ac:dyDescent="0.25">
      <c r="A238" t="s">
        <v>867</v>
      </c>
      <c r="B238" s="2">
        <v>714169</v>
      </c>
      <c r="C238" t="s">
        <v>900</v>
      </c>
      <c r="D238" s="1" t="s">
        <v>206</v>
      </c>
      <c r="E238" t="b">
        <v>0</v>
      </c>
      <c r="F238" s="5">
        <v>100300</v>
      </c>
      <c r="G238" t="s">
        <v>901</v>
      </c>
      <c r="H238" t="s">
        <v>902</v>
      </c>
      <c r="I238" s="1" t="s">
        <v>903</v>
      </c>
      <c r="J238" s="60" t="str" cm="1">
        <f t="array" aca="1" ref="J238" ca="1">_xlfn.XLOOKUP(Assignments[[#This Row],[Company ID]], INDIRECT("'"&amp;Assignments[[#This Row],[Coordinator]]&amp;"'!$B:$B"), INDIRECT("'"&amp;Assignments[[#This Row],[Coordinator]]&amp;"'!$J:$J"), "")</f>
        <v>The coi cleared compliance review. The w-9 and the spend authorization was flagged as still needed and re-requested. Contact responsive and engaged.</v>
      </c>
      <c r="K238" s="12" t="str" cm="1">
        <f t="array" aca="1" ref="K238" ca="1">_xlfn.XLOOKUP(Assignments[[#This Row],[Company ID]], INDIRECT("'"&amp;Assignments[[#This Row],[Coordinator]]&amp;"'!$B:$B"), INDIRECT("'"&amp;Assignments[[#This Row],[Coordinator]]&amp;"'!$K:$K"), "")</f>
        <v>Received</v>
      </c>
      <c r="L238" s="12" t="str" cm="1">
        <f t="array" aca="1" ref="L238" ca="1">_xlfn.XLOOKUP(Assignments[[#This Row],[Company ID]], INDIRECT("'"&amp;Assignments[[#This Row],[Coordinator]]&amp;"'!$B:$B"), INDIRECT("'"&amp;Assignments[[#This Row],[Coordinator]]&amp;"'!$L:$L"), "")</f>
        <v>RECEIVED</v>
      </c>
    </row>
    <row r="239" spans="1:12" ht="30" customHeight="1" x14ac:dyDescent="0.25">
      <c r="A239" t="s">
        <v>867</v>
      </c>
      <c r="B239" s="2">
        <v>822818</v>
      </c>
      <c r="C239" t="s">
        <v>904</v>
      </c>
      <c r="D239" s="1" t="s">
        <v>206</v>
      </c>
      <c r="E239" t="b">
        <v>0</v>
      </c>
      <c r="F239" s="5">
        <v>81100</v>
      </c>
      <c r="G239" t="s">
        <v>905</v>
      </c>
      <c r="H239" t="s">
        <v>906</v>
      </c>
      <c r="I239" s="1" t="s">
        <v>907</v>
      </c>
      <c r="J239" s="60" t="str" cm="1">
        <f t="array" aca="1" ref="J239" ca="1">_xlfn.XLOOKUP(Assignments[[#This Row],[Company ID]], INDIRECT("'"&amp;Assignments[[#This Row],[Coordinator]]&amp;"'!$B:$B"), INDIRECT("'"&amp;Assignments[[#This Row],[Coordinator]]&amp;"'!$J:$J"), "")</f>
        <v>Good progress — the COI and the W-9 confirmed and filed. The spend authorization sits in the vendor's internal approval queue, expected by Wednesday. No concerns yet.</v>
      </c>
      <c r="K239" s="12" t="str" cm="1">
        <f t="array" aca="1" ref="K239" ca="1">_xlfn.XLOOKUP(Assignments[[#This Row],[Company ID]], INDIRECT("'"&amp;Assignments[[#This Row],[Coordinator]]&amp;"'!$B:$B"), INDIRECT("'"&amp;Assignments[[#This Row],[Coordinator]]&amp;"'!$K:$K"), "")</f>
        <v>Received</v>
      </c>
      <c r="L239" s="12" t="str" cm="1">
        <f t="array" aca="1" ref="L239" ca="1">_xlfn.XLOOKUP(Assignments[[#This Row],[Company ID]], INDIRECT("'"&amp;Assignments[[#This Row],[Coordinator]]&amp;"'!$B:$B"), INDIRECT("'"&amp;Assignments[[#This Row],[Coordinator]]&amp;"'!$L:$L"), "")</f>
        <v>RECEIVED</v>
      </c>
    </row>
    <row r="240" spans="1:12" ht="30" customHeight="1" x14ac:dyDescent="0.25">
      <c r="A240" t="s">
        <v>867</v>
      </c>
      <c r="B240" s="2">
        <v>268181</v>
      </c>
      <c r="C240" t="s">
        <v>908</v>
      </c>
      <c r="D240" s="1" t="s">
        <v>206</v>
      </c>
      <c r="E240" t="b">
        <v>0</v>
      </c>
      <c r="F240" s="5">
        <v>15400</v>
      </c>
      <c r="G240" t="s">
        <v>541</v>
      </c>
      <c r="H240" t="s">
        <v>909</v>
      </c>
      <c r="I240" s="1" t="s">
        <v>910</v>
      </c>
      <c r="J240" s="60" t="str" cm="1">
        <f t="array" aca="1" ref="J240" ca="1">_xlfn.XLOOKUP(Assignments[[#This Row],[Company ID]], INDIRECT("'"&amp;Assignments[[#This Row],[Coordinator]]&amp;"'!$B:$B"), INDIRECT("'"&amp;Assignments[[#This Row],[Coordinator]]&amp;"'!$J:$J"), "")</f>
        <v>Good progress — the COI and the W-9 confirmed and filed. The spend authorization sits in the vendor's internal approval queue, expected by Friday. No concerns yet.</v>
      </c>
      <c r="K240" s="12" t="str" cm="1">
        <f t="array" aca="1" ref="K240" ca="1">_xlfn.XLOOKUP(Assignments[[#This Row],[Company ID]], INDIRECT("'"&amp;Assignments[[#This Row],[Coordinator]]&amp;"'!$B:$B"), INDIRECT("'"&amp;Assignments[[#This Row],[Coordinator]]&amp;"'!$K:$K"), "")</f>
        <v>Received</v>
      </c>
      <c r="L240" s="12" t="str" cm="1">
        <f t="array" aca="1" ref="L240" ca="1">_xlfn.XLOOKUP(Assignments[[#This Row],[Company ID]], INDIRECT("'"&amp;Assignments[[#This Row],[Coordinator]]&amp;"'!$B:$B"), INDIRECT("'"&amp;Assignments[[#This Row],[Coordinator]]&amp;"'!$L:$L"), "")</f>
        <v>RECEIVED</v>
      </c>
    </row>
    <row r="241" spans="1:12" ht="30" customHeight="1" x14ac:dyDescent="0.25">
      <c r="A241" t="s">
        <v>867</v>
      </c>
      <c r="B241" s="2">
        <v>944246</v>
      </c>
      <c r="C241" t="s">
        <v>911</v>
      </c>
      <c r="D241" s="1" t="s">
        <v>211</v>
      </c>
      <c r="E241" t="b">
        <v>0</v>
      </c>
      <c r="F241" s="5">
        <v>5600</v>
      </c>
      <c r="G241" t="s">
        <v>869</v>
      </c>
      <c r="H241" t="s">
        <v>912</v>
      </c>
      <c r="I241" s="1" t="s">
        <v>913</v>
      </c>
      <c r="J241" s="60" t="str" cm="1">
        <f t="array" aca="1" ref="J241" ca="1">_xlfn.XLOOKUP(Assignments[[#This Row],[Company ID]], INDIRECT("'"&amp;Assignments[[#This Row],[Coordinator]]&amp;"'!$B:$B"), INDIRECT("'"&amp;Assignments[[#This Row],[Coordinator]]&amp;"'!$J:$J"), "")</f>
        <v>The spend authorization received and verified; the W-9 and the COI still outstanding. Contact confirmed the remainder will be submitted by Friday. Following up then.</v>
      </c>
      <c r="K241" s="12" t="str" cm="1">
        <f t="array" aca="1" ref="K241" ca="1">_xlfn.XLOOKUP(Assignments[[#This Row],[Company ID]], INDIRECT("'"&amp;Assignments[[#This Row],[Coordinator]]&amp;"'!$B:$B"), INDIRECT("'"&amp;Assignments[[#This Row],[Coordinator]]&amp;"'!$K:$K"), "")</f>
        <v>Received</v>
      </c>
      <c r="L241" s="12" t="str" cm="1">
        <f t="array" aca="1" ref="L241" ca="1">_xlfn.XLOOKUP(Assignments[[#This Row],[Company ID]], INDIRECT("'"&amp;Assignments[[#This Row],[Coordinator]]&amp;"'!$B:$B"), INDIRECT("'"&amp;Assignments[[#This Row],[Coordinator]]&amp;"'!$L:$L"), "")</f>
        <v>RECEIVED</v>
      </c>
    </row>
    <row r="242" spans="1:12" ht="30" customHeight="1" x14ac:dyDescent="0.25">
      <c r="A242" t="s">
        <v>867</v>
      </c>
      <c r="B242" s="2">
        <v>555322</v>
      </c>
      <c r="C242" t="s">
        <v>914</v>
      </c>
      <c r="D242" s="1" t="s">
        <v>211</v>
      </c>
      <c r="E242" t="b">
        <v>0</v>
      </c>
      <c r="F242" s="5">
        <v>77900</v>
      </c>
      <c r="G242" t="s">
        <v>915</v>
      </c>
      <c r="H242" t="s">
        <v>916</v>
      </c>
      <c r="I242" s="1" t="s">
        <v>917</v>
      </c>
      <c r="J242" s="60" t="str" cm="1">
        <f t="array" aca="1" ref="J242" ca="1">_xlfn.XLOOKUP(Assignments[[#This Row],[Company ID]], INDIRECT("'"&amp;Assignments[[#This Row],[Coordinator]]&amp;"'!$B:$B"), INDIRECT("'"&amp;Assignments[[#This Row],[Coordinator]]&amp;"'!$J:$J"), "")</f>
        <v>Progressing well: the COI and the Spend authorization accepted and logged. Outstanding item is the W-9, which the contact expects by next week. Steady communication.</v>
      </c>
      <c r="K242" s="12" t="str" cm="1">
        <f t="array" aca="1" ref="K242" ca="1">_xlfn.XLOOKUP(Assignments[[#This Row],[Company ID]], INDIRECT("'"&amp;Assignments[[#This Row],[Coordinator]]&amp;"'!$B:$B"), INDIRECT("'"&amp;Assignments[[#This Row],[Coordinator]]&amp;"'!$K:$K"), "")</f>
        <v>Received</v>
      </c>
      <c r="L242" s="12" t="str" cm="1">
        <f t="array" aca="1" ref="L242" ca="1">_xlfn.XLOOKUP(Assignments[[#This Row],[Company ID]], INDIRECT("'"&amp;Assignments[[#This Row],[Coordinator]]&amp;"'!$B:$B"), INDIRECT("'"&amp;Assignments[[#This Row],[Coordinator]]&amp;"'!$L:$L"), "")</f>
        <v>RECEIVED</v>
      </c>
    </row>
    <row r="243" spans="1:12" ht="30" customHeight="1" x14ac:dyDescent="0.25">
      <c r="A243" t="s">
        <v>867</v>
      </c>
      <c r="B243" s="2">
        <v>800949</v>
      </c>
      <c r="C243" t="s">
        <v>918</v>
      </c>
      <c r="D243" s="1" t="s">
        <v>211</v>
      </c>
      <c r="E243" t="b">
        <v>0</v>
      </c>
      <c r="F243" s="5">
        <v>23300</v>
      </c>
      <c r="G243" t="s">
        <v>919</v>
      </c>
      <c r="H243" t="s">
        <v>920</v>
      </c>
      <c r="I243" s="1" t="s">
        <v>921</v>
      </c>
      <c r="J243" s="60" t="str" cm="1">
        <f t="array" aca="1" ref="J243" ca="1">_xlfn.XLOOKUP(Assignments[[#This Row],[Company ID]], INDIRECT("'"&amp;Assignments[[#This Row],[Coordinator]]&amp;"'!$B:$B"), INDIRECT("'"&amp;Assignments[[#This Row],[Coordinator]]&amp;"'!$J:$J"), "")</f>
        <v>Received and accepted the Spend authorization, closing out the packet. No exceptions in compliance review. Vendor status set to active.</v>
      </c>
      <c r="K243" s="12" t="str" cm="1">
        <f t="array" aca="1" ref="K243" ca="1">_xlfn.XLOOKUP(Assignments[[#This Row],[Company ID]], INDIRECT("'"&amp;Assignments[[#This Row],[Coordinator]]&amp;"'!$B:$B"), INDIRECT("'"&amp;Assignments[[#This Row],[Coordinator]]&amp;"'!$K:$K"), "")</f>
        <v>Completion</v>
      </c>
      <c r="L243" s="12" t="b" cm="1">
        <f t="array" aca="1" ref="L243" ca="1">_xlfn.XLOOKUP(Assignments[[#This Row],[Company ID]], INDIRECT("'"&amp;Assignments[[#This Row],[Coordinator]]&amp;"'!$B:$B"), INDIRECT("'"&amp;Assignments[[#This Row],[Coordinator]]&amp;"'!$L:$L"), "")</f>
        <v>1</v>
      </c>
    </row>
    <row r="244" spans="1:12" ht="30" customHeight="1" x14ac:dyDescent="0.25">
      <c r="A244" t="s">
        <v>867</v>
      </c>
      <c r="B244" s="2">
        <v>702179</v>
      </c>
      <c r="C244" t="s">
        <v>922</v>
      </c>
      <c r="D244" s="1" t="s">
        <v>211</v>
      </c>
      <c r="E244" t="b">
        <v>0</v>
      </c>
      <c r="F244" s="5">
        <v>119600</v>
      </c>
      <c r="G244" t="s">
        <v>923</v>
      </c>
      <c r="H244" t="s">
        <v>924</v>
      </c>
      <c r="I244" s="1" t="s">
        <v>925</v>
      </c>
      <c r="J244" s="60" t="str" cm="1">
        <f t="array" aca="1" ref="J244" ca="1">_xlfn.XLOOKUP(Assignments[[#This Row],[Company ID]], INDIRECT("'"&amp;Assignments[[#This Row],[Coordinator]]&amp;"'!$B:$B"), INDIRECT("'"&amp;Assignments[[#This Row],[Coordinator]]&amp;"'!$J:$J"), "")</f>
        <v>Good progress — the COI confirmed and filed. The spend authorization and the w-9 sits in the vendor's internal approval queue, expected by next week. No concerns yet.</v>
      </c>
      <c r="K244" s="12" t="str" cm="1">
        <f t="array" aca="1" ref="K244" ca="1">_xlfn.XLOOKUP(Assignments[[#This Row],[Company ID]], INDIRECT("'"&amp;Assignments[[#This Row],[Coordinator]]&amp;"'!$B:$B"), INDIRECT("'"&amp;Assignments[[#This Row],[Coordinator]]&amp;"'!$K:$K"), "")</f>
        <v>Received</v>
      </c>
      <c r="L244" s="12" t="str" cm="1">
        <f t="array" aca="1" ref="L244" ca="1">_xlfn.XLOOKUP(Assignments[[#This Row],[Company ID]], INDIRECT("'"&amp;Assignments[[#This Row],[Coordinator]]&amp;"'!$B:$B"), INDIRECT("'"&amp;Assignments[[#This Row],[Coordinator]]&amp;"'!$L:$L"), "")</f>
        <v>RECEIVED</v>
      </c>
    </row>
    <row r="245" spans="1:12" ht="30" customHeight="1" x14ac:dyDescent="0.25">
      <c r="A245" t="s">
        <v>867</v>
      </c>
      <c r="B245" s="2">
        <v>727278</v>
      </c>
      <c r="C245" t="s">
        <v>926</v>
      </c>
      <c r="D245" s="1" t="s">
        <v>211</v>
      </c>
      <c r="E245" t="b">
        <v>0</v>
      </c>
      <c r="F245" s="5">
        <v>67400</v>
      </c>
      <c r="G245" t="s">
        <v>927</v>
      </c>
      <c r="H245" t="s">
        <v>928</v>
      </c>
      <c r="I245" s="1" t="s">
        <v>929</v>
      </c>
      <c r="J245" s="60" t="str" cm="1">
        <f t="array" aca="1" ref="J245" ca="1">_xlfn.XLOOKUP(Assignments[[#This Row],[Company ID]], INDIRECT("'"&amp;Assignments[[#This Row],[Coordinator]]&amp;"'!$B:$B"), INDIRECT("'"&amp;Assignments[[#This Row],[Coordinator]]&amp;"'!$J:$J"), "")</f>
        <v>The coi and the w-9 cleared compliance review. The spend authorization was flagged as still needed and re-requested. Contact responsive and engaged.</v>
      </c>
      <c r="K245" s="12" t="str" cm="1">
        <f t="array" aca="1" ref="K245" ca="1">_xlfn.XLOOKUP(Assignments[[#This Row],[Company ID]], INDIRECT("'"&amp;Assignments[[#This Row],[Coordinator]]&amp;"'!$B:$B"), INDIRECT("'"&amp;Assignments[[#This Row],[Coordinator]]&amp;"'!$K:$K"), "")</f>
        <v>Received</v>
      </c>
      <c r="L245" s="12" t="str" cm="1">
        <f t="array" aca="1" ref="L245" ca="1">_xlfn.XLOOKUP(Assignments[[#This Row],[Company ID]], INDIRECT("'"&amp;Assignments[[#This Row],[Coordinator]]&amp;"'!$B:$B"), INDIRECT("'"&amp;Assignments[[#This Row],[Coordinator]]&amp;"'!$L:$L"), "")</f>
        <v>RECEIVED</v>
      </c>
    </row>
    <row r="246" spans="1:12" ht="30" customHeight="1" x14ac:dyDescent="0.25">
      <c r="A246" t="s">
        <v>867</v>
      </c>
      <c r="B246" s="2">
        <v>235412</v>
      </c>
      <c r="C246" t="s">
        <v>930</v>
      </c>
      <c r="D246" s="1" t="s">
        <v>211</v>
      </c>
      <c r="E246" t="b">
        <v>0</v>
      </c>
      <c r="F246" s="5">
        <v>112900</v>
      </c>
      <c r="G246" t="s">
        <v>931</v>
      </c>
      <c r="H246" t="s">
        <v>932</v>
      </c>
      <c r="I246" s="1" t="s">
        <v>933</v>
      </c>
      <c r="J246" s="60" t="str" cm="1">
        <f t="array" aca="1" ref="J246" ca="1">_xlfn.XLOOKUP(Assignments[[#This Row],[Company ID]], INDIRECT("'"&amp;Assignments[[#This Row],[Coordinator]]&amp;"'!$B:$B"), INDIRECT("'"&amp;Assignments[[#This Row],[Coordinator]]&amp;"'!$J:$J"), "")</f>
        <v>Everything is in — the Spend authorization arrived this Friday and matched our records. Contact was proactive throughout. Onboarding complete.</v>
      </c>
      <c r="K246" s="12" t="str" cm="1">
        <f t="array" aca="1" ref="K246" ca="1">_xlfn.XLOOKUP(Assignments[[#This Row],[Company ID]], INDIRECT("'"&amp;Assignments[[#This Row],[Coordinator]]&amp;"'!$B:$B"), INDIRECT("'"&amp;Assignments[[#This Row],[Coordinator]]&amp;"'!$K:$K"), "")</f>
        <v>Completion</v>
      </c>
      <c r="L246" s="12" t="b" cm="1">
        <f t="array" aca="1" ref="L246" ca="1">_xlfn.XLOOKUP(Assignments[[#This Row],[Company ID]], INDIRECT("'"&amp;Assignments[[#This Row],[Coordinator]]&amp;"'!$B:$B"), INDIRECT("'"&amp;Assignments[[#This Row],[Coordinator]]&amp;"'!$L:$L"), "")</f>
        <v>1</v>
      </c>
    </row>
    <row r="247" spans="1:12" ht="30" customHeight="1" x14ac:dyDescent="0.25">
      <c r="A247" t="s">
        <v>867</v>
      </c>
      <c r="B247" s="2">
        <v>621739</v>
      </c>
      <c r="C247" t="s">
        <v>934</v>
      </c>
      <c r="D247" s="1" t="s">
        <v>520</v>
      </c>
      <c r="E247" t="b">
        <v>0</v>
      </c>
      <c r="F247" s="5">
        <v>6600</v>
      </c>
      <c r="G247" t="s">
        <v>935</v>
      </c>
      <c r="H247" t="s">
        <v>936</v>
      </c>
      <c r="I247" s="1" t="s">
        <v>937</v>
      </c>
      <c r="J247" s="60" t="str" cm="1">
        <f t="array" aca="1" ref="J247" ca="1">_xlfn.XLOOKUP(Assignments[[#This Row],[Company ID]], INDIRECT("'"&amp;Assignments[[#This Row],[Coordinator]]&amp;"'!$B:$B"), INDIRECT("'"&amp;Assignments[[#This Row],[Coordinator]]&amp;"'!$J:$J"), "")</f>
        <v>The spend authorization cleared compliance review. The coi and the w-9 was flagged as still needed and re-requested. Contact responsive and engaged.</v>
      </c>
      <c r="K247" s="12" t="str" cm="1">
        <f t="array" aca="1" ref="K247" ca="1">_xlfn.XLOOKUP(Assignments[[#This Row],[Company ID]], INDIRECT("'"&amp;Assignments[[#This Row],[Coordinator]]&amp;"'!$B:$B"), INDIRECT("'"&amp;Assignments[[#This Row],[Coordinator]]&amp;"'!$K:$K"), "")</f>
        <v>Received</v>
      </c>
      <c r="L247" s="12" t="str" cm="1">
        <f t="array" aca="1" ref="L247" ca="1">_xlfn.XLOOKUP(Assignments[[#This Row],[Company ID]], INDIRECT("'"&amp;Assignments[[#This Row],[Coordinator]]&amp;"'!$B:$B"), INDIRECT("'"&amp;Assignments[[#This Row],[Coordinator]]&amp;"'!$L:$L"), "")</f>
        <v>RECEIVED</v>
      </c>
    </row>
    <row r="248" spans="1:12" ht="30" customHeight="1" x14ac:dyDescent="0.25">
      <c r="A248" t="s">
        <v>867</v>
      </c>
      <c r="B248" s="2">
        <v>102657</v>
      </c>
      <c r="C248" t="s">
        <v>938</v>
      </c>
      <c r="D248" s="1" t="s">
        <v>216</v>
      </c>
      <c r="E248" t="b">
        <v>0</v>
      </c>
      <c r="F248" s="5">
        <v>81000</v>
      </c>
      <c r="G248" t="s">
        <v>939</v>
      </c>
      <c r="H248" t="s">
        <v>940</v>
      </c>
      <c r="I248" s="1" t="s">
        <v>941</v>
      </c>
      <c r="J248" s="60" t="str" cm="1">
        <f t="array" aca="1" ref="J248" ca="1">_xlfn.XLOOKUP(Assignments[[#This Row],[Company ID]], INDIRECT("'"&amp;Assignments[[#This Row],[Coordinator]]&amp;"'!$B:$B"), INDIRECT("'"&amp;Assignments[[#This Row],[Coordinator]]&amp;"'!$J:$J"), "")</f>
        <v>The coi is delayed due to a holiday closure at the vendor's corporate office. A short extension was granted and acknowledged. Will re-check status by next week.</v>
      </c>
      <c r="K248" s="12" t="str" cm="1">
        <f t="array" aca="1" ref="K248" ca="1">_xlfn.XLOOKUP(Assignments[[#This Row],[Company ID]], INDIRECT("'"&amp;Assignments[[#This Row],[Coordinator]]&amp;"'!$B:$B"), INDIRECT("'"&amp;Assignments[[#This Row],[Coordinator]]&amp;"'!$K:$K"), "")</f>
        <v>Delayed</v>
      </c>
      <c r="L248" s="12" t="b" cm="1">
        <f t="array" aca="1" ref="L248" ca="1">_xlfn.XLOOKUP(Assignments[[#This Row],[Company ID]], INDIRECT("'"&amp;Assignments[[#This Row],[Coordinator]]&amp;"'!$B:$B"), INDIRECT("'"&amp;Assignments[[#This Row],[Coordinator]]&amp;"'!$L:$L"), "")</f>
        <v>1</v>
      </c>
    </row>
    <row r="249" spans="1:12" ht="30" customHeight="1" x14ac:dyDescent="0.25">
      <c r="A249" t="s">
        <v>867</v>
      </c>
      <c r="B249" s="2">
        <v>886585</v>
      </c>
      <c r="C249" t="s">
        <v>942</v>
      </c>
      <c r="D249" s="1" t="s">
        <v>216</v>
      </c>
      <c r="E249" t="b">
        <v>0</v>
      </c>
      <c r="F249" s="5">
        <v>40700</v>
      </c>
      <c r="G249" t="s">
        <v>943</v>
      </c>
      <c r="H249" t="s">
        <v>944</v>
      </c>
      <c r="I249" s="1" t="s">
        <v>945</v>
      </c>
      <c r="J249" s="60" t="str" cm="1">
        <f t="array" aca="1" ref="J249" ca="1">_xlfn.XLOOKUP(Assignments[[#This Row],[Company ID]], INDIRECT("'"&amp;Assignments[[#This Row],[Coordinator]]&amp;"'!$B:$B"), INDIRECT("'"&amp;Assignments[[#This Row],[Coordinator]]&amp;"'!$J:$J"), "")</f>
        <v>First batch received: the COI and the Spend authorization logged and approved. Still awaiting the W-9. Contact committed to finishing by Monday.</v>
      </c>
      <c r="K249" s="12" t="str" cm="1">
        <f t="array" aca="1" ref="K249" ca="1">_xlfn.XLOOKUP(Assignments[[#This Row],[Company ID]], INDIRECT("'"&amp;Assignments[[#This Row],[Coordinator]]&amp;"'!$B:$B"), INDIRECT("'"&amp;Assignments[[#This Row],[Coordinator]]&amp;"'!$K:$K"), "")</f>
        <v>Received</v>
      </c>
      <c r="L249" s="12" t="str" cm="1">
        <f t="array" aca="1" ref="L249" ca="1">_xlfn.XLOOKUP(Assignments[[#This Row],[Company ID]], INDIRECT("'"&amp;Assignments[[#This Row],[Coordinator]]&amp;"'!$B:$B"), INDIRECT("'"&amp;Assignments[[#This Row],[Coordinator]]&amp;"'!$L:$L"), "")</f>
        <v>RECEIVED</v>
      </c>
    </row>
    <row r="250" spans="1:12" ht="30" customHeight="1" x14ac:dyDescent="0.25">
      <c r="A250" t="s">
        <v>867</v>
      </c>
      <c r="B250" s="2">
        <v>985391</v>
      </c>
      <c r="C250" t="s">
        <v>946</v>
      </c>
      <c r="D250" s="1" t="s">
        <v>216</v>
      </c>
      <c r="E250" t="b">
        <v>0</v>
      </c>
      <c r="F250" s="5">
        <v>22700</v>
      </c>
      <c r="G250" t="s">
        <v>947</v>
      </c>
      <c r="H250" t="s">
        <v>948</v>
      </c>
      <c r="I250" s="1" t="s">
        <v>949</v>
      </c>
      <c r="J250" s="60" t="str" cm="1">
        <f t="array" aca="1" ref="J250" ca="1">_xlfn.XLOOKUP(Assignments[[#This Row],[Company ID]], INDIRECT("'"&amp;Assignments[[#This Row],[Coordinator]]&amp;"'!$B:$B"), INDIRECT("'"&amp;Assignments[[#This Row],[Coordinator]]&amp;"'!$J:$J"), "")</f>
        <v>Received the W-9 and the Spend authorization through the portal today; the COI still pending. Contact acknowledged the request and is gathering the paperwork. Checking back Friday.</v>
      </c>
      <c r="K250" s="12" t="str" cm="1">
        <f t="array" aca="1" ref="K250" ca="1">_xlfn.XLOOKUP(Assignments[[#This Row],[Company ID]], INDIRECT("'"&amp;Assignments[[#This Row],[Coordinator]]&amp;"'!$B:$B"), INDIRECT("'"&amp;Assignments[[#This Row],[Coordinator]]&amp;"'!$K:$K"), "")</f>
        <v>Received</v>
      </c>
      <c r="L250" s="12" t="str" cm="1">
        <f t="array" aca="1" ref="L250" ca="1">_xlfn.XLOOKUP(Assignments[[#This Row],[Company ID]], INDIRECT("'"&amp;Assignments[[#This Row],[Coordinator]]&amp;"'!$B:$B"), INDIRECT("'"&amp;Assignments[[#This Row],[Coordinator]]&amp;"'!$L:$L"), "")</f>
        <v>RECEIVED</v>
      </c>
    </row>
    <row r="251" spans="1:12" ht="30" customHeight="1" x14ac:dyDescent="0.25">
      <c r="A251" t="s">
        <v>867</v>
      </c>
      <c r="B251" s="2">
        <v>295040</v>
      </c>
      <c r="C251" t="s">
        <v>950</v>
      </c>
      <c r="D251" s="1" t="s">
        <v>216</v>
      </c>
      <c r="E251" t="b">
        <v>0</v>
      </c>
      <c r="F251" s="5">
        <v>27200</v>
      </c>
      <c r="G251" t="s">
        <v>685</v>
      </c>
      <c r="H251" t="s">
        <v>951</v>
      </c>
      <c r="I251" s="1" t="s">
        <v>952</v>
      </c>
      <c r="J251" s="60" t="str" cm="1">
        <f t="array" aca="1" ref="J251" ca="1">_xlfn.XLOOKUP(Assignments[[#This Row],[Company ID]], INDIRECT("'"&amp;Assignments[[#This Row],[Coordinator]]&amp;"'!$B:$B"), INDIRECT("'"&amp;Assignments[[#This Row],[Coordinator]]&amp;"'!$J:$J"), "")</f>
        <v>All onboarding documents — COI, W-9, and Spend authorization — are received and verified, with the Spend authorization arriving last. Compliance review passed with no exceptions. Vendor is fully onboarded and cleared for service.</v>
      </c>
      <c r="K251" s="12" t="str" cm="1">
        <f t="array" aca="1" ref="K251" ca="1">_xlfn.XLOOKUP(Assignments[[#This Row],[Company ID]], INDIRECT("'"&amp;Assignments[[#This Row],[Coordinator]]&amp;"'!$B:$B"), INDIRECT("'"&amp;Assignments[[#This Row],[Coordinator]]&amp;"'!$K:$K"), "")</f>
        <v>Completion</v>
      </c>
      <c r="L251" s="12" t="b" cm="1">
        <f t="array" aca="1" ref="L251" ca="1">_xlfn.XLOOKUP(Assignments[[#This Row],[Company ID]], INDIRECT("'"&amp;Assignments[[#This Row],[Coordinator]]&amp;"'!$B:$B"), INDIRECT("'"&amp;Assignments[[#This Row],[Coordinator]]&amp;"'!$L:$L"), "")</f>
        <v>1</v>
      </c>
    </row>
    <row r="252" spans="1:12" ht="30" customHeight="1" x14ac:dyDescent="0.25">
      <c r="A252" t="s">
        <v>867</v>
      </c>
      <c r="B252" s="2">
        <v>650186</v>
      </c>
      <c r="C252" t="s">
        <v>953</v>
      </c>
      <c r="D252" s="1" t="s">
        <v>216</v>
      </c>
      <c r="E252" t="b">
        <v>0</v>
      </c>
      <c r="F252" s="5">
        <v>36200</v>
      </c>
      <c r="G252" t="s">
        <v>954</v>
      </c>
      <c r="H252" t="s">
        <v>955</v>
      </c>
      <c r="I252" s="1" t="s">
        <v>956</v>
      </c>
      <c r="J252" s="60" t="str" cm="1">
        <f t="array" aca="1" ref="J252" ca="1">_xlfn.XLOOKUP(Assignments[[#This Row],[Company ID]], INDIRECT("'"&amp;Assignments[[#This Row],[Coordinator]]&amp;"'!$B:$B"), INDIRECT("'"&amp;Assignments[[#This Row],[Coordinator]]&amp;"'!$J:$J"), "")</f>
        <v>Received the COI and the Spend authorization through the portal today; the W-9 still pending. Contact acknowledged the request and is gathering the paperwork. Checking back Tuesday.</v>
      </c>
      <c r="K252" s="12" t="str" cm="1">
        <f t="array" aca="1" ref="K252" ca="1">_xlfn.XLOOKUP(Assignments[[#This Row],[Company ID]], INDIRECT("'"&amp;Assignments[[#This Row],[Coordinator]]&amp;"'!$B:$B"), INDIRECT("'"&amp;Assignments[[#This Row],[Coordinator]]&amp;"'!$K:$K"), "")</f>
        <v>Received</v>
      </c>
      <c r="L252" s="12" t="str" cm="1">
        <f t="array" aca="1" ref="L252" ca="1">_xlfn.XLOOKUP(Assignments[[#This Row],[Company ID]], INDIRECT("'"&amp;Assignments[[#This Row],[Coordinator]]&amp;"'!$B:$B"), INDIRECT("'"&amp;Assignments[[#This Row],[Coordinator]]&amp;"'!$L:$L"), "")</f>
        <v>RECEIVED</v>
      </c>
    </row>
    <row r="253" spans="1:12" ht="30" customHeight="1" x14ac:dyDescent="0.25">
      <c r="A253" t="s">
        <v>867</v>
      </c>
      <c r="B253" s="2">
        <v>744039</v>
      </c>
      <c r="C253" t="s">
        <v>957</v>
      </c>
      <c r="D253" s="1" t="s">
        <v>221</v>
      </c>
      <c r="E253" t="b">
        <v>0</v>
      </c>
      <c r="F253" s="5">
        <v>5300</v>
      </c>
      <c r="G253" t="s">
        <v>958</v>
      </c>
      <c r="H253" t="s">
        <v>959</v>
      </c>
      <c r="I253" s="1" t="s">
        <v>960</v>
      </c>
      <c r="J253" s="60" t="str" cm="1">
        <f t="array" aca="1" ref="J253" ca="1">_xlfn.XLOOKUP(Assignments[[#This Row],[Company ID]], INDIRECT("'"&amp;Assignments[[#This Row],[Coordinator]]&amp;"'!$B:$B"), INDIRECT("'"&amp;Assignments[[#This Row],[Coordinator]]&amp;"'!$J:$J"), "")</f>
        <v>Good progress — the Spend authorization confirmed and filed. The coi and the w-9 sits in the vendor's internal approval queue, expected by Wednesday. No concerns yet.</v>
      </c>
      <c r="K253" s="12" t="str" cm="1">
        <f t="array" aca="1" ref="K253" ca="1">_xlfn.XLOOKUP(Assignments[[#This Row],[Company ID]], INDIRECT("'"&amp;Assignments[[#This Row],[Coordinator]]&amp;"'!$B:$B"), INDIRECT("'"&amp;Assignments[[#This Row],[Coordinator]]&amp;"'!$K:$K"), "")</f>
        <v>Received</v>
      </c>
      <c r="L253" s="12" t="str" cm="1">
        <f t="array" aca="1" ref="L253" ca="1">_xlfn.XLOOKUP(Assignments[[#This Row],[Company ID]], INDIRECT("'"&amp;Assignments[[#This Row],[Coordinator]]&amp;"'!$B:$B"), INDIRECT("'"&amp;Assignments[[#This Row],[Coordinator]]&amp;"'!$L:$L"), "")</f>
        <v>RECEIVED</v>
      </c>
    </row>
    <row r="254" spans="1:12" ht="30" customHeight="1" x14ac:dyDescent="0.25">
      <c r="A254" t="s">
        <v>867</v>
      </c>
      <c r="B254" s="2">
        <v>576172</v>
      </c>
      <c r="C254" t="s">
        <v>961</v>
      </c>
      <c r="D254" s="1" t="s">
        <v>221</v>
      </c>
      <c r="E254" t="b">
        <v>0</v>
      </c>
      <c r="F254" s="5">
        <v>12800</v>
      </c>
      <c r="G254" t="s">
        <v>962</v>
      </c>
      <c r="H254" t="s">
        <v>963</v>
      </c>
      <c r="I254" s="1" t="s">
        <v>964</v>
      </c>
      <c r="J254" s="60" t="str" cm="1">
        <f t="array" aca="1" ref="J254" ca="1">_xlfn.XLOOKUP(Assignments[[#This Row],[Company ID]], INDIRECT("'"&amp;Assignments[[#This Row],[Coordinator]]&amp;"'!$B:$B"), INDIRECT("'"&amp;Assignments[[#This Row],[Coordinator]]&amp;"'!$J:$J"), "")</f>
        <v>Onboarding finalized after a short verification call this Tuesday. Every document is signed, dated, and on file. Ready for service assignment.</v>
      </c>
      <c r="K254" s="12" t="str" cm="1">
        <f t="array" aca="1" ref="K254" ca="1">_xlfn.XLOOKUP(Assignments[[#This Row],[Company ID]], INDIRECT("'"&amp;Assignments[[#This Row],[Coordinator]]&amp;"'!$B:$B"), INDIRECT("'"&amp;Assignments[[#This Row],[Coordinator]]&amp;"'!$K:$K"), "")</f>
        <v>Completion</v>
      </c>
      <c r="L254" s="12" t="b" cm="1">
        <f t="array" aca="1" ref="L254" ca="1">_xlfn.XLOOKUP(Assignments[[#This Row],[Company ID]], INDIRECT("'"&amp;Assignments[[#This Row],[Coordinator]]&amp;"'!$B:$B"), INDIRECT("'"&amp;Assignments[[#This Row],[Coordinator]]&amp;"'!$L:$L"), "")</f>
        <v>1</v>
      </c>
    </row>
    <row r="255" spans="1:12" ht="30" customHeight="1" x14ac:dyDescent="0.25">
      <c r="A255" t="s">
        <v>867</v>
      </c>
      <c r="B255" s="2">
        <v>401193</v>
      </c>
      <c r="C255" t="s">
        <v>965</v>
      </c>
      <c r="D255" s="1" t="s">
        <v>432</v>
      </c>
      <c r="E255" t="b">
        <v>0</v>
      </c>
      <c r="F255" s="5">
        <v>191600</v>
      </c>
      <c r="G255" t="s">
        <v>966</v>
      </c>
      <c r="H255" t="s">
        <v>967</v>
      </c>
      <c r="I255" s="1" t="s">
        <v>968</v>
      </c>
      <c r="J255" s="60" t="str" cm="1">
        <f t="array" aca="1" ref="J255" ca="1">_xlfn.XLOOKUP(Assignments[[#This Row],[Company ID]], INDIRECT("'"&amp;Assignments[[#This Row],[Coordinator]]&amp;"'!$B:$B"), INDIRECT("'"&amp;Assignments[[#This Row],[Coordinator]]&amp;"'!$J:$J"), "")</f>
        <v>Contact uploaded the Spend authorization; the COI and the W-9 to follow once signed. Communication has been solid. Next check-in Monday.</v>
      </c>
      <c r="K255" s="12" t="str" cm="1">
        <f t="array" aca="1" ref="K255" ca="1">_xlfn.XLOOKUP(Assignments[[#This Row],[Company ID]], INDIRECT("'"&amp;Assignments[[#This Row],[Coordinator]]&amp;"'!$B:$B"), INDIRECT("'"&amp;Assignments[[#This Row],[Coordinator]]&amp;"'!$K:$K"), "")</f>
        <v>Received</v>
      </c>
      <c r="L255" s="12" t="str" cm="1">
        <f t="array" aca="1" ref="L255" ca="1">_xlfn.XLOOKUP(Assignments[[#This Row],[Company ID]], INDIRECT("'"&amp;Assignments[[#This Row],[Coordinator]]&amp;"'!$B:$B"), INDIRECT("'"&amp;Assignments[[#This Row],[Coordinator]]&amp;"'!$L:$L"), "")</f>
        <v>RECEIVED</v>
      </c>
    </row>
    <row r="256" spans="1:12" ht="30" customHeight="1" x14ac:dyDescent="0.25">
      <c r="A256" t="s">
        <v>867</v>
      </c>
      <c r="B256" s="2">
        <v>283180</v>
      </c>
      <c r="C256" t="s">
        <v>969</v>
      </c>
      <c r="D256" s="1" t="s">
        <v>432</v>
      </c>
      <c r="E256" t="b">
        <v>0</v>
      </c>
      <c r="F256" s="5">
        <v>159000</v>
      </c>
      <c r="G256" t="s">
        <v>970</v>
      </c>
      <c r="H256" t="s">
        <v>971</v>
      </c>
      <c r="I256" s="1" t="s">
        <v>972</v>
      </c>
      <c r="J256" s="60" t="str" cm="1">
        <f t="array" aca="1" ref="J256" ca="1">_xlfn.XLOOKUP(Assignments[[#This Row],[Company ID]], INDIRECT("'"&amp;Assignments[[#This Row],[Coordinator]]&amp;"'!$B:$B"), INDIRECT("'"&amp;Assignments[[#This Row],[Coordinator]]&amp;"'!$J:$J"), "")</f>
        <v>The coi and the w-9 received and verified; the Spend authorization still outstanding. Contact confirmed the remainder will be submitted by Friday. Following up then.</v>
      </c>
      <c r="K256" s="12" t="str" cm="1">
        <f t="array" aca="1" ref="K256" ca="1">_xlfn.XLOOKUP(Assignments[[#This Row],[Company ID]], INDIRECT("'"&amp;Assignments[[#This Row],[Coordinator]]&amp;"'!$B:$B"), INDIRECT("'"&amp;Assignments[[#This Row],[Coordinator]]&amp;"'!$K:$K"), "")</f>
        <v>Received</v>
      </c>
      <c r="L256" s="12" t="str" cm="1">
        <f t="array" aca="1" ref="L256" ca="1">_xlfn.XLOOKUP(Assignments[[#This Row],[Company ID]], INDIRECT("'"&amp;Assignments[[#This Row],[Coordinator]]&amp;"'!$B:$B"), INDIRECT("'"&amp;Assignments[[#This Row],[Coordinator]]&amp;"'!$L:$L"), "")</f>
        <v>RECEIVED</v>
      </c>
    </row>
    <row r="257" spans="1:12" ht="30" customHeight="1" x14ac:dyDescent="0.25">
      <c r="A257" t="s">
        <v>867</v>
      </c>
      <c r="B257" s="2">
        <v>987529</v>
      </c>
      <c r="C257" t="s">
        <v>973</v>
      </c>
      <c r="D257" s="1" t="s">
        <v>432</v>
      </c>
      <c r="E257" t="b">
        <v>0</v>
      </c>
      <c r="F257" s="5">
        <v>20300</v>
      </c>
      <c r="G257" t="s">
        <v>974</v>
      </c>
      <c r="H257" t="s">
        <v>975</v>
      </c>
      <c r="I257" s="1" t="s">
        <v>976</v>
      </c>
      <c r="J257" s="60" t="str" cm="1">
        <f t="array" aca="1" ref="J257" ca="1">_xlfn.XLOOKUP(Assignments[[#This Row],[Company ID]], INDIRECT("'"&amp;Assignments[[#This Row],[Coordinator]]&amp;"'!$B:$B"), INDIRECT("'"&amp;Assignments[[#This Row],[Coordinator]]&amp;"'!$J:$J"), "")</f>
        <v>Partial packet in — the COI and the W-9 on file and within requirements. Awaiting the Spend authorization from the vendor's team. Reminder set for Tuesday.</v>
      </c>
      <c r="K257" s="12" t="str" cm="1">
        <f t="array" aca="1" ref="K257" ca="1">_xlfn.XLOOKUP(Assignments[[#This Row],[Company ID]], INDIRECT("'"&amp;Assignments[[#This Row],[Coordinator]]&amp;"'!$B:$B"), INDIRECT("'"&amp;Assignments[[#This Row],[Coordinator]]&amp;"'!$K:$K"), "")</f>
        <v>Received</v>
      </c>
      <c r="L257" s="12" t="str" cm="1">
        <f t="array" aca="1" ref="L257" ca="1">_xlfn.XLOOKUP(Assignments[[#This Row],[Company ID]], INDIRECT("'"&amp;Assignments[[#This Row],[Coordinator]]&amp;"'!$B:$B"), INDIRECT("'"&amp;Assignments[[#This Row],[Coordinator]]&amp;"'!$L:$L"), "")</f>
        <v>RECEIVED</v>
      </c>
    </row>
    <row r="258" spans="1:12" ht="30" customHeight="1" x14ac:dyDescent="0.25">
      <c r="A258" t="s">
        <v>867</v>
      </c>
      <c r="B258" s="2">
        <v>956436</v>
      </c>
      <c r="C258" t="s">
        <v>977</v>
      </c>
      <c r="D258" s="1" t="s">
        <v>437</v>
      </c>
      <c r="E258" t="b">
        <v>0</v>
      </c>
      <c r="F258" s="5">
        <v>18800</v>
      </c>
      <c r="G258" t="s">
        <v>978</v>
      </c>
      <c r="H258" t="s">
        <v>979</v>
      </c>
      <c r="I258" s="1" t="s">
        <v>980</v>
      </c>
      <c r="J258" s="60" t="str" cm="1">
        <f t="array" aca="1" ref="J258" ca="1">_xlfn.XLOOKUP(Assignments[[#This Row],[Company ID]], INDIRECT("'"&amp;Assignments[[#This Row],[Coordinator]]&amp;"'!$B:$B"), INDIRECT("'"&amp;Assignments[[#This Row],[Coordinator]]&amp;"'!$J:$J"), "")</f>
        <v>Contact delivered the Spend authorization ahead of the deadline, completing the packet. Coverage and W-9 details confirmed current. Cleared for daily operations support.</v>
      </c>
      <c r="K258" s="12" t="str" cm="1">
        <f t="array" aca="1" ref="K258" ca="1">_xlfn.XLOOKUP(Assignments[[#This Row],[Company ID]], INDIRECT("'"&amp;Assignments[[#This Row],[Coordinator]]&amp;"'!$B:$B"), INDIRECT("'"&amp;Assignments[[#This Row],[Coordinator]]&amp;"'!$K:$K"), "")</f>
        <v>Completion</v>
      </c>
      <c r="L258" s="12" t="b" cm="1">
        <f t="array" aca="1" ref="L258" ca="1">_xlfn.XLOOKUP(Assignments[[#This Row],[Company ID]], INDIRECT("'"&amp;Assignments[[#This Row],[Coordinator]]&amp;"'!$B:$B"), INDIRECT("'"&amp;Assignments[[#This Row],[Coordinator]]&amp;"'!$L:$L"), "")</f>
        <v>1</v>
      </c>
    </row>
    <row r="259" spans="1:12" ht="30" customHeight="1" x14ac:dyDescent="0.25">
      <c r="A259" t="s">
        <v>867</v>
      </c>
      <c r="B259" s="2">
        <v>947206</v>
      </c>
      <c r="C259" t="s">
        <v>981</v>
      </c>
      <c r="D259" s="1" t="s">
        <v>437</v>
      </c>
      <c r="E259" t="b">
        <v>0</v>
      </c>
      <c r="F259" s="5">
        <v>5300</v>
      </c>
      <c r="G259" t="s">
        <v>982</v>
      </c>
      <c r="H259" t="s">
        <v>983</v>
      </c>
      <c r="I259" s="1" t="s">
        <v>984</v>
      </c>
      <c r="J259" s="60" t="str" cm="1">
        <f t="array" aca="1" ref="J259" ca="1">_xlfn.XLOOKUP(Assignments[[#This Row],[Company ID]], INDIRECT("'"&amp;Assignments[[#This Row],[Coordinator]]&amp;"'!$B:$B"), INDIRECT("'"&amp;Assignments[[#This Row],[Coordinator]]&amp;"'!$J:$J"), "")</f>
        <v>The coi cleared compliance review. The w-9 and the spend authorization was flagged as still needed and re-requested. Contact responsive and engaged.</v>
      </c>
      <c r="K259" s="12" t="str" cm="1">
        <f t="array" aca="1" ref="K259" ca="1">_xlfn.XLOOKUP(Assignments[[#This Row],[Company ID]], INDIRECT("'"&amp;Assignments[[#This Row],[Coordinator]]&amp;"'!$B:$B"), INDIRECT("'"&amp;Assignments[[#This Row],[Coordinator]]&amp;"'!$K:$K"), "")</f>
        <v>Received</v>
      </c>
      <c r="L259" s="12" t="str" cm="1">
        <f t="array" aca="1" ref="L259" ca="1">_xlfn.XLOOKUP(Assignments[[#This Row],[Company ID]], INDIRECT("'"&amp;Assignments[[#This Row],[Coordinator]]&amp;"'!$B:$B"), INDIRECT("'"&amp;Assignments[[#This Row],[Coordinator]]&amp;"'!$L:$L"), "")</f>
        <v>RECEIVED</v>
      </c>
    </row>
    <row r="260" spans="1:12" ht="30" customHeight="1" x14ac:dyDescent="0.25">
      <c r="A260" t="s">
        <v>867</v>
      </c>
      <c r="B260" s="2">
        <v>826293</v>
      </c>
      <c r="C260" t="s">
        <v>985</v>
      </c>
      <c r="D260" s="1" t="s">
        <v>570</v>
      </c>
      <c r="E260" t="b">
        <v>0</v>
      </c>
      <c r="F260" s="5">
        <v>78500</v>
      </c>
      <c r="G260" t="s">
        <v>986</v>
      </c>
      <c r="H260" t="s">
        <v>987</v>
      </c>
      <c r="I260" s="1" t="s">
        <v>988</v>
      </c>
      <c r="J260" s="60" t="str" cm="1">
        <f t="array" aca="1" ref="J260" ca="1">_xlfn.XLOOKUP(Assignments[[#This Row],[Company ID]], INDIRECT("'"&amp;Assignments[[#This Row],[Coordinator]]&amp;"'!$B:$B"), INDIRECT("'"&amp;Assignments[[#This Row],[Coordinator]]&amp;"'!$J:$J"), "")</f>
        <v>First batch received: the Spend authorization logged and approved. Still awaiting the COI and the W-9. Contact committed to finishing by Monday.</v>
      </c>
      <c r="K260" s="12" t="str" cm="1">
        <f t="array" aca="1" ref="K260" ca="1">_xlfn.XLOOKUP(Assignments[[#This Row],[Company ID]], INDIRECT("'"&amp;Assignments[[#This Row],[Coordinator]]&amp;"'!$B:$B"), INDIRECT("'"&amp;Assignments[[#This Row],[Coordinator]]&amp;"'!$K:$K"), "")</f>
        <v>Received</v>
      </c>
      <c r="L260" s="12" t="str" cm="1">
        <f t="array" aca="1" ref="L260" ca="1">_xlfn.XLOOKUP(Assignments[[#This Row],[Company ID]], INDIRECT("'"&amp;Assignments[[#This Row],[Coordinator]]&amp;"'!$B:$B"), INDIRECT("'"&amp;Assignments[[#This Row],[Coordinator]]&amp;"'!$L:$L"), "")</f>
        <v>RECEIVED</v>
      </c>
    </row>
    <row r="261" spans="1:12" ht="30" customHeight="1" x14ac:dyDescent="0.25">
      <c r="A261" t="s">
        <v>867</v>
      </c>
      <c r="B261" s="2">
        <v>903946</v>
      </c>
      <c r="C261" t="s">
        <v>989</v>
      </c>
      <c r="D261" s="1" t="s">
        <v>570</v>
      </c>
      <c r="E261" t="b">
        <v>0</v>
      </c>
      <c r="F261" s="5">
        <v>68200</v>
      </c>
      <c r="G261" t="s">
        <v>990</v>
      </c>
      <c r="H261" t="s">
        <v>991</v>
      </c>
      <c r="I261" s="1" t="s">
        <v>992</v>
      </c>
      <c r="J261" s="60" t="str" cm="1">
        <f t="array" aca="1" ref="J261" ca="1">_xlfn.XLOOKUP(Assignments[[#This Row],[Company ID]], INDIRECT("'"&amp;Assignments[[#This Row],[Coordinator]]&amp;"'!$B:$B"), INDIRECT("'"&amp;Assignments[[#This Row],[Coordinator]]&amp;"'!$J:$J"), "")</f>
        <v>The coi held up because of a legal entity name change working through their system. Contact is actively working it and apologized for the lag. New target is Friday.</v>
      </c>
      <c r="K261" s="12" t="str" cm="1">
        <f t="array" aca="1" ref="K261" ca="1">_xlfn.XLOOKUP(Assignments[[#This Row],[Company ID]], INDIRECT("'"&amp;Assignments[[#This Row],[Coordinator]]&amp;"'!$B:$B"), INDIRECT("'"&amp;Assignments[[#This Row],[Coordinator]]&amp;"'!$K:$K"), "")</f>
        <v>Delayed</v>
      </c>
      <c r="L261" s="12" t="b" cm="1">
        <f t="array" aca="1" ref="L261" ca="1">_xlfn.XLOOKUP(Assignments[[#This Row],[Company ID]], INDIRECT("'"&amp;Assignments[[#This Row],[Coordinator]]&amp;"'!$B:$B"), INDIRECT("'"&amp;Assignments[[#This Row],[Coordinator]]&amp;"'!$L:$L"), "")</f>
        <v>0</v>
      </c>
    </row>
    <row r="262" spans="1:12" ht="30" customHeight="1" x14ac:dyDescent="0.25">
      <c r="A262" t="s">
        <v>867</v>
      </c>
      <c r="B262" s="2">
        <v>267899</v>
      </c>
      <c r="C262" t="s">
        <v>993</v>
      </c>
      <c r="D262" s="1" t="s">
        <v>570</v>
      </c>
      <c r="E262" t="b">
        <v>0</v>
      </c>
      <c r="F262" s="5">
        <v>81700</v>
      </c>
      <c r="G262" t="s">
        <v>90</v>
      </c>
      <c r="H262" t="s">
        <v>994</v>
      </c>
      <c r="I262" s="1" t="s">
        <v>995</v>
      </c>
      <c r="J262" s="60" t="str" cm="1">
        <f t="array" aca="1" ref="J262" ca="1">_xlfn.XLOOKUP(Assignments[[#This Row],[Company ID]], INDIRECT("'"&amp;Assignments[[#This Row],[Coordinator]]&amp;"'!$B:$B"), INDIRECT("'"&amp;Assignments[[#This Row],[Coordinator]]&amp;"'!$J:$J"), "")</f>
        <v>Packet complete after the Spend authorization was uploaded, closing the final open item. Documents were cross-checked against contract requirements and approved. Vendor moved to active status.</v>
      </c>
      <c r="K262" s="12" t="str" cm="1">
        <f t="array" aca="1" ref="K262" ca="1">_xlfn.XLOOKUP(Assignments[[#This Row],[Company ID]], INDIRECT("'"&amp;Assignments[[#This Row],[Coordinator]]&amp;"'!$B:$B"), INDIRECT("'"&amp;Assignments[[#This Row],[Coordinator]]&amp;"'!$K:$K"), "")</f>
        <v>Completion</v>
      </c>
      <c r="L262" s="12" t="b" cm="1">
        <f t="array" aca="1" ref="L262" ca="1">_xlfn.XLOOKUP(Assignments[[#This Row],[Company ID]], INDIRECT("'"&amp;Assignments[[#This Row],[Coordinator]]&amp;"'!$B:$B"), INDIRECT("'"&amp;Assignments[[#This Row],[Coordinator]]&amp;"'!$L:$L"), "")</f>
        <v>1</v>
      </c>
    </row>
    <row r="263" spans="1:12" ht="30" customHeight="1" x14ac:dyDescent="0.25">
      <c r="A263" t="s">
        <v>867</v>
      </c>
      <c r="B263" s="2">
        <v>645291</v>
      </c>
      <c r="C263" t="s">
        <v>996</v>
      </c>
      <c r="D263" s="1" t="s">
        <v>570</v>
      </c>
      <c r="E263" t="b">
        <v>0</v>
      </c>
      <c r="F263" s="5">
        <v>94700</v>
      </c>
      <c r="G263" t="s">
        <v>997</v>
      </c>
      <c r="H263" t="s">
        <v>998</v>
      </c>
      <c r="I263" s="1" t="s">
        <v>999</v>
      </c>
      <c r="J263" s="60" t="str" cm="1">
        <f t="array" aca="1" ref="J263" ca="1">_xlfn.XLOOKUP(Assignments[[#This Row],[Company ID]], INDIRECT("'"&amp;Assignments[[#This Row],[Coordinator]]&amp;"'!$B:$B"), INDIRECT("'"&amp;Assignments[[#This Row],[Coordinator]]&amp;"'!$J:$J"), "")</f>
        <v>Good progress — the W-9 and the Spend authorization confirmed and filed. The coi sits in the vendor's internal approval queue, expected by Monday. No concerns yet.</v>
      </c>
      <c r="K263" s="12" t="str" cm="1">
        <f t="array" aca="1" ref="K263" ca="1">_xlfn.XLOOKUP(Assignments[[#This Row],[Company ID]], INDIRECT("'"&amp;Assignments[[#This Row],[Coordinator]]&amp;"'!$B:$B"), INDIRECT("'"&amp;Assignments[[#This Row],[Coordinator]]&amp;"'!$K:$K"), "")</f>
        <v>Received</v>
      </c>
      <c r="L263" s="12" t="str" cm="1">
        <f t="array" aca="1" ref="L263" ca="1">_xlfn.XLOOKUP(Assignments[[#This Row],[Company ID]], INDIRECT("'"&amp;Assignments[[#This Row],[Coordinator]]&amp;"'!$B:$B"), INDIRECT("'"&amp;Assignments[[#This Row],[Coordinator]]&amp;"'!$L:$L"), "")</f>
        <v>RECEIVED</v>
      </c>
    </row>
    <row r="264" spans="1:12" ht="30" customHeight="1" x14ac:dyDescent="0.25">
      <c r="A264" t="s">
        <v>867</v>
      </c>
      <c r="B264" s="2">
        <v>202814</v>
      </c>
      <c r="C264" t="s">
        <v>1000</v>
      </c>
      <c r="D264" s="1" t="s">
        <v>441</v>
      </c>
      <c r="E264" t="b">
        <v>0</v>
      </c>
      <c r="F264" s="5">
        <v>1400</v>
      </c>
      <c r="G264" t="s">
        <v>1001</v>
      </c>
      <c r="H264" t="s">
        <v>1002</v>
      </c>
      <c r="I264" s="1" t="s">
        <v>1003</v>
      </c>
      <c r="J264" s="60" t="str" cm="1">
        <f t="array" aca="1" ref="J264" ca="1">_xlfn.XLOOKUP(Assignments[[#This Row],[Company ID]], INDIRECT("'"&amp;Assignments[[#This Row],[Coordinator]]&amp;"'!$B:$B"), INDIRECT("'"&amp;Assignments[[#This Row],[Coordinator]]&amp;"'!$J:$J"), "")</f>
        <v>Everything is in — the Spend authorization arrived this Wednesday and matched our records. Contact was proactive throughout. Onboarding complete.</v>
      </c>
      <c r="K264" s="12" t="str" cm="1">
        <f t="array" aca="1" ref="K264" ca="1">_xlfn.XLOOKUP(Assignments[[#This Row],[Company ID]], INDIRECT("'"&amp;Assignments[[#This Row],[Coordinator]]&amp;"'!$B:$B"), INDIRECT("'"&amp;Assignments[[#This Row],[Coordinator]]&amp;"'!$K:$K"), "")</f>
        <v>Completion</v>
      </c>
      <c r="L264" s="12" t="b" cm="1">
        <f t="array" aca="1" ref="L264" ca="1">_xlfn.XLOOKUP(Assignments[[#This Row],[Company ID]], INDIRECT("'"&amp;Assignments[[#This Row],[Coordinator]]&amp;"'!$B:$B"), INDIRECT("'"&amp;Assignments[[#This Row],[Coordinator]]&amp;"'!$L:$L"), "")</f>
        <v>1</v>
      </c>
    </row>
    <row r="265" spans="1:12" ht="30" customHeight="1" x14ac:dyDescent="0.25">
      <c r="A265" t="s">
        <v>867</v>
      </c>
      <c r="B265" s="2">
        <v>602467</v>
      </c>
      <c r="C265" t="s">
        <v>1004</v>
      </c>
      <c r="D265" s="1" t="s">
        <v>441</v>
      </c>
      <c r="E265" t="b">
        <v>0</v>
      </c>
      <c r="F265" s="5">
        <v>7500</v>
      </c>
      <c r="G265" t="s">
        <v>1005</v>
      </c>
      <c r="H265" t="s">
        <v>1006</v>
      </c>
      <c r="I265" s="1" t="s">
        <v>1007</v>
      </c>
      <c r="J265" s="60" t="str" cm="1">
        <f t="array" aca="1" ref="J265" ca="1">_xlfn.XLOOKUP(Assignments[[#This Row],[Company ID]], INDIRECT("'"&amp;Assignments[[#This Row],[Coordinator]]&amp;"'!$B:$B"), INDIRECT("'"&amp;Assignments[[#This Row],[Coordinator]]&amp;"'!$J:$J"), "")</f>
        <v>Good progress — the W-9 confirmed and filed. The coi and the spend authorization sits in the vendor's internal approval queue, expected by Monday. No concerns yet.</v>
      </c>
      <c r="K265" s="12" t="str" cm="1">
        <f t="array" aca="1" ref="K265" ca="1">_xlfn.XLOOKUP(Assignments[[#This Row],[Company ID]], INDIRECT("'"&amp;Assignments[[#This Row],[Coordinator]]&amp;"'!$B:$B"), INDIRECT("'"&amp;Assignments[[#This Row],[Coordinator]]&amp;"'!$K:$K"), "")</f>
        <v>Received</v>
      </c>
      <c r="L265" s="12" t="str" cm="1">
        <f t="array" aca="1" ref="L265" ca="1">_xlfn.XLOOKUP(Assignments[[#This Row],[Company ID]], INDIRECT("'"&amp;Assignments[[#This Row],[Coordinator]]&amp;"'!$B:$B"), INDIRECT("'"&amp;Assignments[[#This Row],[Coordinator]]&amp;"'!$L:$L"), "")</f>
        <v>RECEIVED</v>
      </c>
    </row>
    <row r="266" spans="1:12" ht="30" customHeight="1" x14ac:dyDescent="0.25">
      <c r="A266" t="s">
        <v>867</v>
      </c>
      <c r="B266" s="2">
        <v>609156</v>
      </c>
      <c r="C266" t="s">
        <v>1008</v>
      </c>
      <c r="D266" s="1" t="s">
        <v>441</v>
      </c>
      <c r="E266" t="b">
        <v>0</v>
      </c>
      <c r="F266" s="5">
        <v>17700</v>
      </c>
      <c r="G266" t="s">
        <v>212</v>
      </c>
      <c r="H266" t="s">
        <v>1009</v>
      </c>
      <c r="I266" s="1" t="s">
        <v>1010</v>
      </c>
      <c r="J266" s="60" t="str" cm="1">
        <f t="array" aca="1" ref="J266" ca="1">_xlfn.XLOOKUP(Assignments[[#This Row],[Company ID]], INDIRECT("'"&amp;Assignments[[#This Row],[Coordinator]]&amp;"'!$B:$B"), INDIRECT("'"&amp;Assignments[[#This Row],[Coordinator]]&amp;"'!$J:$J"), "")</f>
        <v>Received the W-9 through the portal today; the Spend authorization and the COI still pending. Contact acknowledged the request and is gathering the paperwork. Checking back Thursday.</v>
      </c>
      <c r="K266" s="12" t="str" cm="1">
        <f t="array" aca="1" ref="K266" ca="1">_xlfn.XLOOKUP(Assignments[[#This Row],[Company ID]], INDIRECT("'"&amp;Assignments[[#This Row],[Coordinator]]&amp;"'!$B:$B"), INDIRECT("'"&amp;Assignments[[#This Row],[Coordinator]]&amp;"'!$K:$K"), "")</f>
        <v>Received</v>
      </c>
      <c r="L266" s="12" t="str" cm="1">
        <f t="array" aca="1" ref="L266" ca="1">_xlfn.XLOOKUP(Assignments[[#This Row],[Company ID]], INDIRECT("'"&amp;Assignments[[#This Row],[Coordinator]]&amp;"'!$B:$B"), INDIRECT("'"&amp;Assignments[[#This Row],[Coordinator]]&amp;"'!$L:$L"), "")</f>
        <v>RECEIVED</v>
      </c>
    </row>
    <row r="267" spans="1:12" ht="30" customHeight="1" x14ac:dyDescent="0.25">
      <c r="A267" t="s">
        <v>867</v>
      </c>
      <c r="B267" s="2">
        <v>419720</v>
      </c>
      <c r="C267" t="s">
        <v>1011</v>
      </c>
      <c r="D267" s="1" t="s">
        <v>441</v>
      </c>
      <c r="E267" t="b">
        <v>0</v>
      </c>
      <c r="F267" s="5">
        <v>22300</v>
      </c>
      <c r="G267" t="s">
        <v>1012</v>
      </c>
      <c r="H267" t="s">
        <v>1013</v>
      </c>
      <c r="I267" s="1" t="s">
        <v>1014</v>
      </c>
      <c r="J267" s="60" t="str" cm="1">
        <f t="array" aca="1" ref="J267" ca="1">_xlfn.XLOOKUP(Assignments[[#This Row],[Company ID]], INDIRECT("'"&amp;Assignments[[#This Row],[Coordinator]]&amp;"'!$B:$B"), INDIRECT("'"&amp;Assignments[[#This Row],[Coordinator]]&amp;"'!$J:$J"), "")</f>
        <v>Contact uploaded the COI; the Spend authorization and the W-9 to follow once signed. Communication has been solid. Next check-in next week.</v>
      </c>
      <c r="K267" s="12" t="str" cm="1">
        <f t="array" aca="1" ref="K267" ca="1">_xlfn.XLOOKUP(Assignments[[#This Row],[Company ID]], INDIRECT("'"&amp;Assignments[[#This Row],[Coordinator]]&amp;"'!$B:$B"), INDIRECT("'"&amp;Assignments[[#This Row],[Coordinator]]&amp;"'!$K:$K"), "")</f>
        <v>Received</v>
      </c>
      <c r="L267" s="12" t="str" cm="1">
        <f t="array" aca="1" ref="L267" ca="1">_xlfn.XLOOKUP(Assignments[[#This Row],[Company ID]], INDIRECT("'"&amp;Assignments[[#This Row],[Coordinator]]&amp;"'!$B:$B"), INDIRECT("'"&amp;Assignments[[#This Row],[Coordinator]]&amp;"'!$L:$L"), "")</f>
        <v>RECEIVED</v>
      </c>
    </row>
    <row r="268" spans="1:12" ht="30" customHeight="1" x14ac:dyDescent="0.25">
      <c r="A268" t="s">
        <v>867</v>
      </c>
      <c r="B268" s="2">
        <v>739771</v>
      </c>
      <c r="C268" t="s">
        <v>1015</v>
      </c>
      <c r="D268" s="1" t="s">
        <v>587</v>
      </c>
      <c r="E268" t="b">
        <v>0</v>
      </c>
      <c r="F268" s="5">
        <v>126500</v>
      </c>
      <c r="G268" t="s">
        <v>1016</v>
      </c>
      <c r="H268" t="s">
        <v>1017</v>
      </c>
      <c r="I268" s="1" t="s">
        <v>1018</v>
      </c>
      <c r="J268" s="60" t="str" cm="1">
        <f t="array" aca="1" ref="J268" ca="1">_xlfn.XLOOKUP(Assignments[[#This Row],[Company ID]], INDIRECT("'"&amp;Assignments[[#This Row],[Coordinator]]&amp;"'!$B:$B"), INDIRECT("'"&amp;Assignments[[#This Row],[Coordinator]]&amp;"'!$J:$J"), "")</f>
        <v>First batch received: the W-9 and the Spend authorization logged and approved. Still awaiting the COI. Contact committed to finishing by Thursday.</v>
      </c>
      <c r="K268" s="12" t="str" cm="1">
        <f t="array" aca="1" ref="K268" ca="1">_xlfn.XLOOKUP(Assignments[[#This Row],[Company ID]], INDIRECT("'"&amp;Assignments[[#This Row],[Coordinator]]&amp;"'!$B:$B"), INDIRECT("'"&amp;Assignments[[#This Row],[Coordinator]]&amp;"'!$K:$K"), "")</f>
        <v>Received</v>
      </c>
      <c r="L268" s="12" t="str" cm="1">
        <f t="array" aca="1" ref="L268" ca="1">_xlfn.XLOOKUP(Assignments[[#This Row],[Company ID]], INDIRECT("'"&amp;Assignments[[#This Row],[Coordinator]]&amp;"'!$B:$B"), INDIRECT("'"&amp;Assignments[[#This Row],[Coordinator]]&amp;"'!$L:$L"), "")</f>
        <v>RECEIVED</v>
      </c>
    </row>
    <row r="269" spans="1:12" ht="30" customHeight="1" x14ac:dyDescent="0.25">
      <c r="A269" t="s">
        <v>867</v>
      </c>
      <c r="B269" s="2">
        <v>211289</v>
      </c>
      <c r="C269" t="s">
        <v>1019</v>
      </c>
      <c r="D269" s="1" t="s">
        <v>587</v>
      </c>
      <c r="E269" t="b">
        <v>0</v>
      </c>
      <c r="F269" s="5">
        <v>28000</v>
      </c>
      <c r="G269" t="s">
        <v>1020</v>
      </c>
      <c r="H269" t="s">
        <v>1021</v>
      </c>
      <c r="I269" s="1" t="s">
        <v>1022</v>
      </c>
      <c r="J269" s="60" t="str" cm="1">
        <f t="array" aca="1" ref="J269" ca="1">_xlfn.XLOOKUP(Assignments[[#This Row],[Company ID]], INDIRECT("'"&amp;Assignments[[#This Row],[Coordinator]]&amp;"'!$B:$B"), INDIRECT("'"&amp;Assignments[[#This Row],[Coordinator]]&amp;"'!$J:$J"), "")</f>
        <v>Contact uploaded the W-9 and the Spend authorization; the COI to follow once signed. Communication has been solid. Next check-in Wednesday.</v>
      </c>
      <c r="K269" s="12" t="str" cm="1">
        <f t="array" aca="1" ref="K269" ca="1">_xlfn.XLOOKUP(Assignments[[#This Row],[Company ID]], INDIRECT("'"&amp;Assignments[[#This Row],[Coordinator]]&amp;"'!$B:$B"), INDIRECT("'"&amp;Assignments[[#This Row],[Coordinator]]&amp;"'!$K:$K"), "")</f>
        <v>Received</v>
      </c>
      <c r="L269" s="12" t="str" cm="1">
        <f t="array" aca="1" ref="L269" ca="1">_xlfn.XLOOKUP(Assignments[[#This Row],[Company ID]], INDIRECT("'"&amp;Assignments[[#This Row],[Coordinator]]&amp;"'!$B:$B"), INDIRECT("'"&amp;Assignments[[#This Row],[Coordinator]]&amp;"'!$L:$L"), "")</f>
        <v>RECEIVED</v>
      </c>
    </row>
    <row r="270" spans="1:12" ht="30" customHeight="1" x14ac:dyDescent="0.25">
      <c r="A270" t="s">
        <v>867</v>
      </c>
      <c r="B270" s="2">
        <v>590419</v>
      </c>
      <c r="C270" t="s">
        <v>1023</v>
      </c>
      <c r="D270" s="1" t="s">
        <v>587</v>
      </c>
      <c r="E270" t="b">
        <v>0</v>
      </c>
      <c r="F270" s="5">
        <v>35500</v>
      </c>
      <c r="G270" t="s">
        <v>1024</v>
      </c>
      <c r="H270" t="s">
        <v>1025</v>
      </c>
      <c r="I270" s="1" t="s">
        <v>1026</v>
      </c>
      <c r="J270" s="60" t="str" cm="1">
        <f t="array" aca="1" ref="J270" ca="1">_xlfn.XLOOKUP(Assignments[[#This Row],[Company ID]], INDIRECT("'"&amp;Assignments[[#This Row],[Coordinator]]&amp;"'!$B:$B"), INDIRECT("'"&amp;Assignments[[#This Row],[Coordinator]]&amp;"'!$J:$J"), "")</f>
        <v>Progressing well: the Spend authorization accepted and logged. Outstanding item is the W-9 and the COI, which the contact expects by Friday. Steady communication.</v>
      </c>
      <c r="K270" s="12" t="str" cm="1">
        <f t="array" aca="1" ref="K270" ca="1">_xlfn.XLOOKUP(Assignments[[#This Row],[Company ID]], INDIRECT("'"&amp;Assignments[[#This Row],[Coordinator]]&amp;"'!$B:$B"), INDIRECT("'"&amp;Assignments[[#This Row],[Coordinator]]&amp;"'!$K:$K"), "")</f>
        <v>Received</v>
      </c>
      <c r="L270" s="12" t="str" cm="1">
        <f t="array" aca="1" ref="L270" ca="1">_xlfn.XLOOKUP(Assignments[[#This Row],[Company ID]], INDIRECT("'"&amp;Assignments[[#This Row],[Coordinator]]&amp;"'!$B:$B"), INDIRECT("'"&amp;Assignments[[#This Row],[Coordinator]]&amp;"'!$L:$L"), "")</f>
        <v>RECEIVED</v>
      </c>
    </row>
    <row r="271" spans="1:12" ht="30" customHeight="1" x14ac:dyDescent="0.25">
      <c r="A271" t="s">
        <v>867</v>
      </c>
      <c r="B271" s="2">
        <v>818461</v>
      </c>
      <c r="C271" t="s">
        <v>1027</v>
      </c>
      <c r="D271" s="1" t="s">
        <v>603</v>
      </c>
      <c r="E271" t="b">
        <v>0</v>
      </c>
      <c r="F271" s="5">
        <v>20800</v>
      </c>
      <c r="G271" t="s">
        <v>1028</v>
      </c>
      <c r="H271" t="s">
        <v>1029</v>
      </c>
      <c r="I271" s="1" t="s">
        <v>1030</v>
      </c>
      <c r="J271" s="60" t="str" cm="1">
        <f t="array" aca="1" ref="J271" ca="1">_xlfn.XLOOKUP(Assignments[[#This Row],[Company ID]], INDIRECT("'"&amp;Assignments[[#This Row],[Coordinator]]&amp;"'!$B:$B"), INDIRECT("'"&amp;Assignments[[#This Row],[Coordinator]]&amp;"'!$J:$J"), "")</f>
        <v>Progressing well: the Spend authorization accepted and logged. Outstanding item is the COI and the W-9, which the contact expects by Wednesday. Steady communication.</v>
      </c>
      <c r="K271" s="12" t="str" cm="1">
        <f t="array" aca="1" ref="K271" ca="1">_xlfn.XLOOKUP(Assignments[[#This Row],[Company ID]], INDIRECT("'"&amp;Assignments[[#This Row],[Coordinator]]&amp;"'!$B:$B"), INDIRECT("'"&amp;Assignments[[#This Row],[Coordinator]]&amp;"'!$K:$K"), "")</f>
        <v>Received</v>
      </c>
      <c r="L271" s="12" t="str" cm="1">
        <f t="array" aca="1" ref="L271" ca="1">_xlfn.XLOOKUP(Assignments[[#This Row],[Company ID]], INDIRECT("'"&amp;Assignments[[#This Row],[Coordinator]]&amp;"'!$B:$B"), INDIRECT("'"&amp;Assignments[[#This Row],[Coordinator]]&amp;"'!$L:$L"), "")</f>
        <v>RECEIVED</v>
      </c>
    </row>
    <row r="272" spans="1:12" ht="30" customHeight="1" x14ac:dyDescent="0.25">
      <c r="A272" t="s">
        <v>867</v>
      </c>
      <c r="B272" s="2">
        <v>971789</v>
      </c>
      <c r="C272" t="s">
        <v>1031</v>
      </c>
      <c r="D272" s="1" t="s">
        <v>603</v>
      </c>
      <c r="E272" t="b">
        <v>0</v>
      </c>
      <c r="F272" s="5">
        <v>37900</v>
      </c>
      <c r="G272" t="s">
        <v>1032</v>
      </c>
      <c r="H272" t="s">
        <v>1033</v>
      </c>
      <c r="I272" s="1" t="s">
        <v>1034</v>
      </c>
      <c r="J272" s="60" t="str" cm="1">
        <f t="array" aca="1" ref="J272" ca="1">_xlfn.XLOOKUP(Assignments[[#This Row],[Company ID]], INDIRECT("'"&amp;Assignments[[#This Row],[Coordinator]]&amp;"'!$B:$B"), INDIRECT("'"&amp;Assignments[[#This Row],[Coordinator]]&amp;"'!$J:$J"), "")</f>
        <v>The coi and the w-9 cleared compliance review. The spend authorization was flagged as still needed and re-requested. Contact responsive and engaged.</v>
      </c>
      <c r="K272" s="12" t="str" cm="1">
        <f t="array" aca="1" ref="K272" ca="1">_xlfn.XLOOKUP(Assignments[[#This Row],[Company ID]], INDIRECT("'"&amp;Assignments[[#This Row],[Coordinator]]&amp;"'!$B:$B"), INDIRECT("'"&amp;Assignments[[#This Row],[Coordinator]]&amp;"'!$K:$K"), "")</f>
        <v>Received</v>
      </c>
      <c r="L272" s="12" t="str" cm="1">
        <f t="array" aca="1" ref="L272" ca="1">_xlfn.XLOOKUP(Assignments[[#This Row],[Company ID]], INDIRECT("'"&amp;Assignments[[#This Row],[Coordinator]]&amp;"'!$B:$B"), INDIRECT("'"&amp;Assignments[[#This Row],[Coordinator]]&amp;"'!$L:$L"), "")</f>
        <v>RECEIVED</v>
      </c>
    </row>
    <row r="273" spans="1:12" ht="30" customHeight="1" x14ac:dyDescent="0.25">
      <c r="A273" t="s">
        <v>867</v>
      </c>
      <c r="B273" s="2">
        <v>845393</v>
      </c>
      <c r="C273" t="s">
        <v>1035</v>
      </c>
      <c r="D273" s="1" t="s">
        <v>446</v>
      </c>
      <c r="E273" t="b">
        <v>0</v>
      </c>
      <c r="F273" s="5">
        <v>42300</v>
      </c>
      <c r="G273" t="s">
        <v>1036</v>
      </c>
      <c r="H273" t="s">
        <v>1037</v>
      </c>
      <c r="I273" s="1" t="s">
        <v>1038</v>
      </c>
      <c r="J273" s="60" t="str" cm="1">
        <f t="array" aca="1" ref="J273" ca="1">_xlfn.XLOOKUP(Assignments[[#This Row],[Company ID]], INDIRECT("'"&amp;Assignments[[#This Row],[Coordinator]]&amp;"'!$B:$B"), INDIRECT("'"&amp;Assignments[[#This Row],[Coordinator]]&amp;"'!$J:$J"), "")</f>
        <v>Contact uploaded the W-9 and the Spend authorization; the COI to follow once signed. Communication has been solid. Next check-in Wednesday.</v>
      </c>
      <c r="K273" s="12" t="str" cm="1">
        <f t="array" aca="1" ref="K273" ca="1">_xlfn.XLOOKUP(Assignments[[#This Row],[Company ID]], INDIRECT("'"&amp;Assignments[[#This Row],[Coordinator]]&amp;"'!$B:$B"), INDIRECT("'"&amp;Assignments[[#This Row],[Coordinator]]&amp;"'!$K:$K"), "")</f>
        <v>Received</v>
      </c>
      <c r="L273" s="12" t="str" cm="1">
        <f t="array" aca="1" ref="L273" ca="1">_xlfn.XLOOKUP(Assignments[[#This Row],[Company ID]], INDIRECT("'"&amp;Assignments[[#This Row],[Coordinator]]&amp;"'!$B:$B"), INDIRECT("'"&amp;Assignments[[#This Row],[Coordinator]]&amp;"'!$L:$L"), "")</f>
        <v>RECEIVED</v>
      </c>
    </row>
    <row r="274" spans="1:12" ht="30" customHeight="1" x14ac:dyDescent="0.25">
      <c r="A274" t="s">
        <v>867</v>
      </c>
      <c r="B274" s="2">
        <v>196645</v>
      </c>
      <c r="C274" t="s">
        <v>1039</v>
      </c>
      <c r="D274" s="1" t="s">
        <v>446</v>
      </c>
      <c r="E274" t="b">
        <v>0</v>
      </c>
      <c r="F274" s="5">
        <v>33300</v>
      </c>
      <c r="G274" t="s">
        <v>1040</v>
      </c>
      <c r="H274" t="s">
        <v>1041</v>
      </c>
      <c r="I274" s="1" t="s">
        <v>1042</v>
      </c>
      <c r="J274" s="60" t="str" cm="1">
        <f t="array" aca="1" ref="J274" ca="1">_xlfn.XLOOKUP(Assignments[[#This Row],[Company ID]], INDIRECT("'"&amp;Assignments[[#This Row],[Coordinator]]&amp;"'!$B:$B"), INDIRECT("'"&amp;Assignments[[#This Row],[Coordinator]]&amp;"'!$J:$J"), "")</f>
        <v>Received the COI and the Spend authorization through the portal today; the W-9 still pending. Contact acknowledged the request and is gathering the paperwork. Checking back Wednesday.</v>
      </c>
      <c r="K274" s="12" t="str" cm="1">
        <f t="array" aca="1" ref="K274" ca="1">_xlfn.XLOOKUP(Assignments[[#This Row],[Company ID]], INDIRECT("'"&amp;Assignments[[#This Row],[Coordinator]]&amp;"'!$B:$B"), INDIRECT("'"&amp;Assignments[[#This Row],[Coordinator]]&amp;"'!$K:$K"), "")</f>
        <v>Received</v>
      </c>
      <c r="L274" s="12" t="str" cm="1">
        <f t="array" aca="1" ref="L274" ca="1">_xlfn.XLOOKUP(Assignments[[#This Row],[Company ID]], INDIRECT("'"&amp;Assignments[[#This Row],[Coordinator]]&amp;"'!$B:$B"), INDIRECT("'"&amp;Assignments[[#This Row],[Coordinator]]&amp;"'!$L:$L"), "")</f>
        <v>RECEIVED</v>
      </c>
    </row>
    <row r="275" spans="1:12" ht="30" customHeight="1" x14ac:dyDescent="0.25">
      <c r="A275" t="s">
        <v>867</v>
      </c>
      <c r="B275" s="2">
        <v>134717</v>
      </c>
      <c r="C275" t="s">
        <v>1043</v>
      </c>
      <c r="D275" s="1" t="s">
        <v>622</v>
      </c>
      <c r="E275" t="b">
        <v>0</v>
      </c>
      <c r="F275" s="5">
        <v>104100</v>
      </c>
      <c r="G275" t="s">
        <v>1044</v>
      </c>
      <c r="H275" t="s">
        <v>1045</v>
      </c>
      <c r="I275" s="1" t="s">
        <v>1046</v>
      </c>
      <c r="J275" s="60" t="str" cm="1">
        <f t="array" aca="1" ref="J275" ca="1">_xlfn.XLOOKUP(Assignments[[#This Row],[Company ID]], INDIRECT("'"&amp;Assignments[[#This Row],[Coordinator]]&amp;"'!$B:$B"), INDIRECT("'"&amp;Assignments[[#This Row],[Coordinator]]&amp;"'!$J:$J"), "")</f>
        <v>All three required documents were approved on first pass, the Spend authorization included. The Certificate of Insurance names the arena as additional insured, as required. Vendor is good to go.</v>
      </c>
      <c r="K275" s="12" t="str" cm="1">
        <f t="array" aca="1" ref="K275" ca="1">_xlfn.XLOOKUP(Assignments[[#This Row],[Company ID]], INDIRECT("'"&amp;Assignments[[#This Row],[Coordinator]]&amp;"'!$B:$B"), INDIRECT("'"&amp;Assignments[[#This Row],[Coordinator]]&amp;"'!$K:$K"), "")</f>
        <v>Completion</v>
      </c>
      <c r="L275" s="12" t="b" cm="1">
        <f t="array" aca="1" ref="L275" ca="1">_xlfn.XLOOKUP(Assignments[[#This Row],[Company ID]], INDIRECT("'"&amp;Assignments[[#This Row],[Coordinator]]&amp;"'!$B:$B"), INDIRECT("'"&amp;Assignments[[#This Row],[Coordinator]]&amp;"'!$L:$L"), "")</f>
        <v>1</v>
      </c>
    </row>
    <row r="276" spans="1:12" ht="30" customHeight="1" x14ac:dyDescent="0.25">
      <c r="A276" t="s">
        <v>867</v>
      </c>
      <c r="B276" s="2">
        <v>640198</v>
      </c>
      <c r="C276" t="s">
        <v>1047</v>
      </c>
      <c r="D276" s="1" t="s">
        <v>622</v>
      </c>
      <c r="E276" t="b">
        <v>0</v>
      </c>
      <c r="F276" s="5">
        <v>87100</v>
      </c>
      <c r="G276" t="s">
        <v>1048</v>
      </c>
      <c r="H276" t="s">
        <v>1049</v>
      </c>
      <c r="I276" s="1" t="s">
        <v>1050</v>
      </c>
      <c r="J276" s="60" t="str" cm="1">
        <f t="array" aca="1" ref="J276" ca="1">_xlfn.XLOOKUP(Assignments[[#This Row],[Company ID]], INDIRECT("'"&amp;Assignments[[#This Row],[Coordinator]]&amp;"'!$B:$B"), INDIRECT("'"&amp;Assignments[[#This Row],[Coordinator]]&amp;"'!$J:$J"), "")</f>
        <v>Partial packet in — the W-9 and the Spend authorization on file and within requirements. Awaiting the COI from the vendor's team. Reminder set for next week.</v>
      </c>
      <c r="K276" s="12" t="str" cm="1">
        <f t="array" aca="1" ref="K276" ca="1">_xlfn.XLOOKUP(Assignments[[#This Row],[Company ID]], INDIRECT("'"&amp;Assignments[[#This Row],[Coordinator]]&amp;"'!$B:$B"), INDIRECT("'"&amp;Assignments[[#This Row],[Coordinator]]&amp;"'!$K:$K"), "")</f>
        <v>Received</v>
      </c>
      <c r="L276" s="12" t="str" cm="1">
        <f t="array" aca="1" ref="L276" ca="1">_xlfn.XLOOKUP(Assignments[[#This Row],[Company ID]], INDIRECT("'"&amp;Assignments[[#This Row],[Coordinator]]&amp;"'!$B:$B"), INDIRECT("'"&amp;Assignments[[#This Row],[Coordinator]]&amp;"'!$L:$L"), "")</f>
        <v>RECEIVED</v>
      </c>
    </row>
    <row r="277" spans="1:12" ht="30" customHeight="1" x14ac:dyDescent="0.25">
      <c r="A277" t="s">
        <v>867</v>
      </c>
      <c r="B277" s="2">
        <v>621307</v>
      </c>
      <c r="C277" t="s">
        <v>1051</v>
      </c>
      <c r="D277" s="1" t="s">
        <v>230</v>
      </c>
      <c r="E277" t="b">
        <v>0</v>
      </c>
      <c r="F277" s="5">
        <v>61500</v>
      </c>
      <c r="G277" t="s">
        <v>1052</v>
      </c>
      <c r="H277" t="s">
        <v>1053</v>
      </c>
      <c r="I277" s="1" t="s">
        <v>1054</v>
      </c>
      <c r="J277" s="60" t="str" cm="1">
        <f t="array" aca="1" ref="J277" ca="1">_xlfn.XLOOKUP(Assignments[[#This Row],[Company ID]], INDIRECT("'"&amp;Assignments[[#This Row],[Coordinator]]&amp;"'!$B:$B"), INDIRECT("'"&amp;Assignments[[#This Row],[Coordinator]]&amp;"'!$J:$J"), "")</f>
        <v>The coi received and verified; the W-9 and the Spend authorization still outstanding. Contact confirmed the remainder will be submitted by Tuesday. Following up then.</v>
      </c>
      <c r="K277" s="12" t="str" cm="1">
        <f t="array" aca="1" ref="K277" ca="1">_xlfn.XLOOKUP(Assignments[[#This Row],[Company ID]], INDIRECT("'"&amp;Assignments[[#This Row],[Coordinator]]&amp;"'!$B:$B"), INDIRECT("'"&amp;Assignments[[#This Row],[Coordinator]]&amp;"'!$K:$K"), "")</f>
        <v>Received</v>
      </c>
      <c r="L277" s="12" t="str" cm="1">
        <f t="array" aca="1" ref="L277" ca="1">_xlfn.XLOOKUP(Assignments[[#This Row],[Company ID]], INDIRECT("'"&amp;Assignments[[#This Row],[Coordinator]]&amp;"'!$B:$B"), INDIRECT("'"&amp;Assignments[[#This Row],[Coordinator]]&amp;"'!$L:$L"), "")</f>
        <v>RECEIVED</v>
      </c>
    </row>
    <row r="278" spans="1:12" ht="30" customHeight="1" x14ac:dyDescent="0.25">
      <c r="A278" t="s">
        <v>867</v>
      </c>
      <c r="B278" s="2">
        <v>699385</v>
      </c>
      <c r="C278" t="s">
        <v>1055</v>
      </c>
      <c r="D278" s="1" t="s">
        <v>230</v>
      </c>
      <c r="E278" t="b">
        <v>0</v>
      </c>
      <c r="F278" s="5">
        <v>4700</v>
      </c>
      <c r="G278" t="s">
        <v>1056</v>
      </c>
      <c r="H278" t="s">
        <v>1057</v>
      </c>
      <c r="I278" s="1" t="s">
        <v>1058</v>
      </c>
      <c r="J278" s="60" t="str" cm="1">
        <f t="array" aca="1" ref="J278" ca="1">_xlfn.XLOOKUP(Assignments[[#This Row],[Company ID]], INDIRECT("'"&amp;Assignments[[#This Row],[Coordinator]]&amp;"'!$B:$B"), INDIRECT("'"&amp;Assignments[[#This Row],[Coordinator]]&amp;"'!$J:$J"), "")</f>
        <v>Good progress — the Spend authorization confirmed and filed. The coi and the w-9 sits in the vendor's internal approval queue, expected by Wednesday. No concerns yet.</v>
      </c>
      <c r="K278" s="12" t="str" cm="1">
        <f t="array" aca="1" ref="K278" ca="1">_xlfn.XLOOKUP(Assignments[[#This Row],[Company ID]], INDIRECT("'"&amp;Assignments[[#This Row],[Coordinator]]&amp;"'!$B:$B"), INDIRECT("'"&amp;Assignments[[#This Row],[Coordinator]]&amp;"'!$K:$K"), "")</f>
        <v>Received</v>
      </c>
      <c r="L278" s="12" t="str" cm="1">
        <f t="array" aca="1" ref="L278" ca="1">_xlfn.XLOOKUP(Assignments[[#This Row],[Company ID]], INDIRECT("'"&amp;Assignments[[#This Row],[Coordinator]]&amp;"'!$B:$B"), INDIRECT("'"&amp;Assignments[[#This Row],[Coordinator]]&amp;"'!$L:$L"), "")</f>
        <v>RECEIVED</v>
      </c>
    </row>
    <row r="279" spans="1:12" ht="30" customHeight="1" x14ac:dyDescent="0.25">
      <c r="A279" t="s">
        <v>867</v>
      </c>
      <c r="B279" s="2">
        <v>481201</v>
      </c>
      <c r="C279" t="s">
        <v>1059</v>
      </c>
      <c r="D279" s="1" t="s">
        <v>647</v>
      </c>
      <c r="E279" t="b">
        <v>0</v>
      </c>
      <c r="F279" s="5">
        <v>2000</v>
      </c>
      <c r="G279" t="s">
        <v>1060</v>
      </c>
      <c r="H279" t="s">
        <v>1061</v>
      </c>
      <c r="I279" s="1" t="s">
        <v>1062</v>
      </c>
      <c r="J279" s="60" t="str" cm="1">
        <f t="array" aca="1" ref="J279" ca="1">_xlfn.XLOOKUP(Assignments[[#This Row],[Company ID]], INDIRECT("'"&amp;Assignments[[#This Row],[Coordinator]]&amp;"'!$B:$B"), INDIRECT("'"&amp;Assignments[[#This Row],[Coordinator]]&amp;"'!$J:$J"), "")</f>
        <v>Received the Spend authorization through the portal today; the COI and the W-9 still pending. Contact acknowledged the request and is gathering the paperwork. Checking back Thursday.</v>
      </c>
      <c r="K279" s="12" t="str" cm="1">
        <f t="array" aca="1" ref="K279" ca="1">_xlfn.XLOOKUP(Assignments[[#This Row],[Company ID]], INDIRECT("'"&amp;Assignments[[#This Row],[Coordinator]]&amp;"'!$B:$B"), INDIRECT("'"&amp;Assignments[[#This Row],[Coordinator]]&amp;"'!$K:$K"), "")</f>
        <v>Received</v>
      </c>
      <c r="L279" s="12" t="str" cm="1">
        <f t="array" aca="1" ref="L279" ca="1">_xlfn.XLOOKUP(Assignments[[#This Row],[Company ID]], INDIRECT("'"&amp;Assignments[[#This Row],[Coordinator]]&amp;"'!$B:$B"), INDIRECT("'"&amp;Assignments[[#This Row],[Coordinator]]&amp;"'!$L:$L"), "")</f>
        <v>RECEIVED</v>
      </c>
    </row>
    <row r="280" spans="1:12" ht="30" customHeight="1" x14ac:dyDescent="0.25">
      <c r="A280" t="s">
        <v>867</v>
      </c>
      <c r="B280" s="2">
        <v>167418</v>
      </c>
      <c r="C280" t="s">
        <v>1063</v>
      </c>
      <c r="D280" s="1" t="s">
        <v>647</v>
      </c>
      <c r="E280" t="b">
        <v>0</v>
      </c>
      <c r="F280" s="5">
        <v>25600</v>
      </c>
      <c r="G280" t="s">
        <v>1064</v>
      </c>
      <c r="H280" t="s">
        <v>1065</v>
      </c>
      <c r="I280" s="1" t="s">
        <v>1066</v>
      </c>
      <c r="J280" s="60" t="str" cm="1">
        <f t="array" aca="1" ref="J280" ca="1">_xlfn.XLOOKUP(Assignments[[#This Row],[Company ID]], INDIRECT("'"&amp;Assignments[[#This Row],[Coordinator]]&amp;"'!$B:$B"), INDIRECT("'"&amp;Assignments[[#This Row],[Coordinator]]&amp;"'!$J:$J"), "")</f>
        <v>First batch received: the COI and the Spend authorization logged and approved. Still awaiting the W-9. Contact committed to finishing by Thursday.</v>
      </c>
      <c r="K280" s="12" t="str" cm="1">
        <f t="array" aca="1" ref="K280" ca="1">_xlfn.XLOOKUP(Assignments[[#This Row],[Company ID]], INDIRECT("'"&amp;Assignments[[#This Row],[Coordinator]]&amp;"'!$B:$B"), INDIRECT("'"&amp;Assignments[[#This Row],[Coordinator]]&amp;"'!$K:$K"), "")</f>
        <v>Received</v>
      </c>
      <c r="L280" s="12" t="str" cm="1">
        <f t="array" aca="1" ref="L280" ca="1">_xlfn.XLOOKUP(Assignments[[#This Row],[Company ID]], INDIRECT("'"&amp;Assignments[[#This Row],[Coordinator]]&amp;"'!$B:$B"), INDIRECT("'"&amp;Assignments[[#This Row],[Coordinator]]&amp;"'!$L:$L"), "")</f>
        <v>RECEIVED</v>
      </c>
    </row>
    <row r="281" spans="1:12" ht="30" customHeight="1" x14ac:dyDescent="0.25">
      <c r="A281" t="s">
        <v>867</v>
      </c>
      <c r="B281" s="2">
        <v>359876</v>
      </c>
      <c r="C281" t="s">
        <v>1067</v>
      </c>
      <c r="D281" s="1" t="s">
        <v>647</v>
      </c>
      <c r="E281" t="b">
        <v>0</v>
      </c>
      <c r="F281" s="5">
        <v>29300</v>
      </c>
      <c r="G281" t="s">
        <v>295</v>
      </c>
      <c r="H281" t="s">
        <v>1068</v>
      </c>
      <c r="I281" s="1" t="s">
        <v>1069</v>
      </c>
      <c r="J281" s="60" t="str" cm="1">
        <f t="array" aca="1" ref="J281" ca="1">_xlfn.XLOOKUP(Assignments[[#This Row],[Company ID]], INDIRECT("'"&amp;Assignments[[#This Row],[Coordinator]]&amp;"'!$B:$B"), INDIRECT("'"&amp;Assignments[[#This Row],[Coordinator]]&amp;"'!$J:$J"), "")</f>
        <v>First batch received: the W-9 and the Spend authorization logged and approved. Still awaiting the COI. Contact committed to finishing by Thursday.</v>
      </c>
      <c r="K281" s="12" t="str" cm="1">
        <f t="array" aca="1" ref="K281" ca="1">_xlfn.XLOOKUP(Assignments[[#This Row],[Company ID]], INDIRECT("'"&amp;Assignments[[#This Row],[Coordinator]]&amp;"'!$B:$B"), INDIRECT("'"&amp;Assignments[[#This Row],[Coordinator]]&amp;"'!$K:$K"), "")</f>
        <v>Received</v>
      </c>
      <c r="L281" s="12" t="str" cm="1">
        <f t="array" aca="1" ref="L281" ca="1">_xlfn.XLOOKUP(Assignments[[#This Row],[Company ID]], INDIRECT("'"&amp;Assignments[[#This Row],[Coordinator]]&amp;"'!$B:$B"), INDIRECT("'"&amp;Assignments[[#This Row],[Coordinator]]&amp;"'!$L:$L"), "")</f>
        <v>RECEIVED</v>
      </c>
    </row>
    <row r="282" spans="1:12" ht="30" customHeight="1" x14ac:dyDescent="0.25">
      <c r="A282" t="s">
        <v>867</v>
      </c>
      <c r="B282" s="2">
        <v>418422</v>
      </c>
      <c r="C282" t="s">
        <v>1070</v>
      </c>
      <c r="D282" s="1" t="s">
        <v>647</v>
      </c>
      <c r="E282" t="b">
        <v>0</v>
      </c>
      <c r="F282" s="5">
        <v>30000</v>
      </c>
      <c r="G282" t="s">
        <v>877</v>
      </c>
      <c r="H282" t="s">
        <v>1071</v>
      </c>
      <c r="I282" s="1" t="s">
        <v>1072</v>
      </c>
      <c r="J282" s="60" t="str" cm="1">
        <f t="array" aca="1" ref="J282" ca="1">_xlfn.XLOOKUP(Assignments[[#This Row],[Company ID]], INDIRECT("'"&amp;Assignments[[#This Row],[Coordinator]]&amp;"'!$B:$B"), INDIRECT("'"&amp;Assignments[[#This Row],[Coordinator]]&amp;"'!$J:$J"), "")</f>
        <v>The w-9 pushed back owing to a legal entity name change working through their system. The rest of the packet is fine. Expecting resolution by next week.</v>
      </c>
      <c r="K282" s="12" t="str" cm="1">
        <f t="array" aca="1" ref="K282" ca="1">_xlfn.XLOOKUP(Assignments[[#This Row],[Company ID]], INDIRECT("'"&amp;Assignments[[#This Row],[Coordinator]]&amp;"'!$B:$B"), INDIRECT("'"&amp;Assignments[[#This Row],[Coordinator]]&amp;"'!$K:$K"), "")</f>
        <v>Delayed</v>
      </c>
      <c r="L282" s="12" t="b" cm="1">
        <f t="array" aca="1" ref="L282" ca="1">_xlfn.XLOOKUP(Assignments[[#This Row],[Company ID]], INDIRECT("'"&amp;Assignments[[#This Row],[Coordinator]]&amp;"'!$B:$B"), INDIRECT("'"&amp;Assignments[[#This Row],[Coordinator]]&amp;"'!$L:$L"), "")</f>
        <v>0</v>
      </c>
    </row>
    <row r="283" spans="1:12" ht="30" customHeight="1" x14ac:dyDescent="0.25">
      <c r="A283" t="s">
        <v>1073</v>
      </c>
      <c r="B283" s="2">
        <v>935298</v>
      </c>
      <c r="C283" t="s">
        <v>1074</v>
      </c>
      <c r="D283" s="1" t="s">
        <v>11</v>
      </c>
      <c r="E283" t="b">
        <v>1</v>
      </c>
      <c r="F283" s="5">
        <v>100000</v>
      </c>
      <c r="G283" t="s">
        <v>1075</v>
      </c>
      <c r="H283" t="s">
        <v>1076</v>
      </c>
      <c r="I283" s="1" t="s">
        <v>1077</v>
      </c>
      <c r="J283" s="60" t="str" cm="1">
        <f t="array" aca="1" ref="J283" ca="1">_xlfn.XLOOKUP(Assignments[[#This Row],[Company ID]], INDIRECT("'"&amp;Assignments[[#This Row],[Coordinator]]&amp;"'!$B:$B"), INDIRECT("'"&amp;Assignments[[#This Row],[Coordinator]]&amp;"'!$J:$J"), "")</f>
        <v>Replies are sporadic and often incomplete, slowing everything down. Still awaiting all required documents. Setting a firm deadline in the next message.</v>
      </c>
      <c r="K283" s="12" t="str" cm="1">
        <f t="array" aca="1" ref="K283" ca="1">_xlfn.XLOOKUP(Assignments[[#This Row],[Company ID]], INDIRECT("'"&amp;Assignments[[#This Row],[Coordinator]]&amp;"'!$B:$B"), INDIRECT("'"&amp;Assignments[[#This Row],[Coordinator]]&amp;"'!$K:$K"), "")</f>
        <v>Poor Communication</v>
      </c>
      <c r="L283" s="12" t="b" cm="1">
        <f t="array" aca="1" ref="L283" ca="1">_xlfn.XLOOKUP(Assignments[[#This Row],[Company ID]], INDIRECT("'"&amp;Assignments[[#This Row],[Coordinator]]&amp;"'!$B:$B"), INDIRECT("'"&amp;Assignments[[#This Row],[Coordinator]]&amp;"'!$L:$L"), "")</f>
        <v>1</v>
      </c>
    </row>
    <row r="284" spans="1:12" ht="30" customHeight="1" x14ac:dyDescent="0.25">
      <c r="A284" t="s">
        <v>1073</v>
      </c>
      <c r="B284" s="2">
        <v>938653</v>
      </c>
      <c r="C284" t="s">
        <v>1078</v>
      </c>
      <c r="D284" s="1" t="s">
        <v>28</v>
      </c>
      <c r="E284" t="b">
        <v>1</v>
      </c>
      <c r="F284" s="5">
        <v>479100</v>
      </c>
      <c r="G284" t="s">
        <v>1079</v>
      </c>
      <c r="H284" t="s">
        <v>1080</v>
      </c>
      <c r="I284" s="1" t="s">
        <v>1081</v>
      </c>
      <c r="J284" s="60" t="str" cm="1">
        <f t="array" aca="1" ref="J284" ca="1">_xlfn.XLOOKUP(Assignments[[#This Row],[Company ID]], INDIRECT("'"&amp;Assignments[[#This Row],[Coordinator]]&amp;"'!$B:$B"), INDIRECT("'"&amp;Assignments[[#This Row],[Coordinator]]&amp;"'!$J:$J"), "")</f>
        <v>First batch received: the COI and the W-9 logged and approved. Still awaiting the Spend authorization. Contact committed to finishing by next week.</v>
      </c>
      <c r="K284" s="12" t="str" cm="1">
        <f t="array" aca="1" ref="K284" ca="1">_xlfn.XLOOKUP(Assignments[[#This Row],[Company ID]], INDIRECT("'"&amp;Assignments[[#This Row],[Coordinator]]&amp;"'!$B:$B"), INDIRECT("'"&amp;Assignments[[#This Row],[Coordinator]]&amp;"'!$K:$K"), "")</f>
        <v>Received</v>
      </c>
      <c r="L284" s="12" t="str" cm="1">
        <f t="array" aca="1" ref="L284" ca="1">_xlfn.XLOOKUP(Assignments[[#This Row],[Company ID]], INDIRECT("'"&amp;Assignments[[#This Row],[Coordinator]]&amp;"'!$B:$B"), INDIRECT("'"&amp;Assignments[[#This Row],[Coordinator]]&amp;"'!$L:$L"), "")</f>
        <v>RECEIVED</v>
      </c>
    </row>
    <row r="285" spans="1:12" ht="30" customHeight="1" x14ac:dyDescent="0.25">
      <c r="A285" t="s">
        <v>1073</v>
      </c>
      <c r="B285" s="2">
        <v>150528</v>
      </c>
      <c r="C285" t="s">
        <v>1082</v>
      </c>
      <c r="D285" s="1" t="s">
        <v>89</v>
      </c>
      <c r="E285" t="b">
        <v>1</v>
      </c>
      <c r="F285" s="5">
        <v>286000</v>
      </c>
      <c r="G285" t="s">
        <v>1083</v>
      </c>
      <c r="H285" t="s">
        <v>1084</v>
      </c>
      <c r="I285" s="1" t="s">
        <v>1085</v>
      </c>
      <c r="J285" s="60" t="str" cm="1">
        <f t="array" aca="1" ref="J285" ca="1">_xlfn.XLOOKUP(Assignments[[#This Row],[Company ID]], INDIRECT("'"&amp;Assignments[[#This Row],[Coordinator]]&amp;"'!$B:$B"), INDIRECT("'"&amp;Assignments[[#This Row],[Coordinator]]&amp;"'!$J:$J"), "")</f>
        <v>The coi held up because of a processing backlog cited by their broker. Contact is actively working it and apologized for the lag. New target is Friday.</v>
      </c>
      <c r="K285" s="12" t="str" cm="1">
        <f t="array" aca="1" ref="K285" ca="1">_xlfn.XLOOKUP(Assignments[[#This Row],[Company ID]], INDIRECT("'"&amp;Assignments[[#This Row],[Coordinator]]&amp;"'!$B:$B"), INDIRECT("'"&amp;Assignments[[#This Row],[Coordinator]]&amp;"'!$K:$K"), "")</f>
        <v>Delayed</v>
      </c>
      <c r="L285" s="12" t="str" cm="1">
        <f t="array" aca="1" ref="L285" ca="1">_xlfn.XLOOKUP(Assignments[[#This Row],[Company ID]], INDIRECT("'"&amp;Assignments[[#This Row],[Coordinator]]&amp;"'!$B:$B"), INDIRECT("'"&amp;Assignments[[#This Row],[Coordinator]]&amp;"'!$L:$L"), "")</f>
        <v>RECEIVED</v>
      </c>
    </row>
    <row r="286" spans="1:12" ht="30" customHeight="1" x14ac:dyDescent="0.25">
      <c r="A286" t="s">
        <v>1073</v>
      </c>
      <c r="B286" s="2">
        <v>655678</v>
      </c>
      <c r="C286" t="s">
        <v>1086</v>
      </c>
      <c r="D286" s="1" t="s">
        <v>89</v>
      </c>
      <c r="E286" t="b">
        <v>1</v>
      </c>
      <c r="F286" s="5">
        <v>263900</v>
      </c>
      <c r="G286" t="s">
        <v>1087</v>
      </c>
      <c r="H286" t="s">
        <v>1088</v>
      </c>
      <c r="I286" s="1" t="s">
        <v>1089</v>
      </c>
      <c r="J286" s="60" t="str" cm="1">
        <f t="array" aca="1" ref="J286" ca="1">_xlfn.XLOOKUP(Assignments[[#This Row],[Company ID]], INDIRECT("'"&amp;Assignments[[#This Row],[Coordinator]]&amp;"'!$B:$B"), INDIRECT("'"&amp;Assignments[[#This Row],[Coordinator]]&amp;"'!$J:$J"), "")</f>
        <v>Packet complete after the COI was uploaded, closing the final open item. Documents were cross-checked against contract requirements and approved. Vendor moved to active status.</v>
      </c>
      <c r="K286" s="12" t="str" cm="1">
        <f t="array" aca="1" ref="K286" ca="1">_xlfn.XLOOKUP(Assignments[[#This Row],[Company ID]], INDIRECT("'"&amp;Assignments[[#This Row],[Coordinator]]&amp;"'!$B:$B"), INDIRECT("'"&amp;Assignments[[#This Row],[Coordinator]]&amp;"'!$K:$K"), "")</f>
        <v>Completion</v>
      </c>
      <c r="L286" s="12" t="b" cm="1">
        <f t="array" aca="1" ref="L286" ca="1">_xlfn.XLOOKUP(Assignments[[#This Row],[Company ID]], INDIRECT("'"&amp;Assignments[[#This Row],[Coordinator]]&amp;"'!$B:$B"), INDIRECT("'"&amp;Assignments[[#This Row],[Coordinator]]&amp;"'!$L:$L"), "")</f>
        <v>1</v>
      </c>
    </row>
    <row r="287" spans="1:12" ht="30" customHeight="1" x14ac:dyDescent="0.25">
      <c r="A287" t="s">
        <v>1073</v>
      </c>
      <c r="B287" s="2">
        <v>589324</v>
      </c>
      <c r="C287" t="s">
        <v>1090</v>
      </c>
      <c r="D287" s="1" t="s">
        <v>143</v>
      </c>
      <c r="E287" t="b">
        <v>1</v>
      </c>
      <c r="F287" s="5">
        <v>248800</v>
      </c>
      <c r="G287" t="s">
        <v>1091</v>
      </c>
      <c r="H287" t="s">
        <v>1092</v>
      </c>
      <c r="I287" s="1" t="s">
        <v>1093</v>
      </c>
      <c r="J287" s="60" t="str" cm="1">
        <f t="array" aca="1" ref="J287" ca="1">_xlfn.XLOOKUP(Assignments[[#This Row],[Company ID]], INDIRECT("'"&amp;Assignments[[#This Row],[Coordinator]]&amp;"'!$B:$B"), INDIRECT("'"&amp;Assignments[[#This Row],[Coordinator]]&amp;"'!$J:$J"), "")</f>
        <v>Third outreach attempt with no response from the contact. Voicemail left and a follow-up email sent requesting the outstanding documents. Escalating to a backup contact if no reply by Thursday.</v>
      </c>
      <c r="K287" s="12" t="str" cm="1">
        <f t="array" aca="1" ref="K287" ca="1">_xlfn.XLOOKUP(Assignments[[#This Row],[Company ID]], INDIRECT("'"&amp;Assignments[[#This Row],[Coordinator]]&amp;"'!$B:$B"), INDIRECT("'"&amp;Assignments[[#This Row],[Coordinator]]&amp;"'!$K:$K"), "")</f>
        <v>Poor Communication</v>
      </c>
      <c r="L287" s="12" t="b" cm="1">
        <f t="array" aca="1" ref="L287" ca="1">_xlfn.XLOOKUP(Assignments[[#This Row],[Company ID]], INDIRECT("'"&amp;Assignments[[#This Row],[Coordinator]]&amp;"'!$B:$B"), INDIRECT("'"&amp;Assignments[[#This Row],[Coordinator]]&amp;"'!$L:$L"), "")</f>
        <v>0</v>
      </c>
    </row>
    <row r="288" spans="1:12" ht="30" customHeight="1" x14ac:dyDescent="0.25">
      <c r="A288" t="s">
        <v>1073</v>
      </c>
      <c r="B288" s="2">
        <v>636102</v>
      </c>
      <c r="C288" t="s">
        <v>1094</v>
      </c>
      <c r="D288" s="1" t="s">
        <v>143</v>
      </c>
      <c r="E288" t="b">
        <v>1</v>
      </c>
      <c r="F288" s="5">
        <v>258000</v>
      </c>
      <c r="G288" t="s">
        <v>1095</v>
      </c>
      <c r="H288" t="s">
        <v>1096</v>
      </c>
      <c r="I288" s="1" t="s">
        <v>1097</v>
      </c>
      <c r="J288" s="60" t="str" cm="1">
        <f t="array" aca="1" ref="J288" ca="1">_xlfn.XLOOKUP(Assignments[[#This Row],[Company ID]], INDIRECT("'"&amp;Assignments[[#This Row],[Coordinator]]&amp;"'!$B:$B"), INDIRECT("'"&amp;Assignments[[#This Row],[Coordinator]]&amp;"'!$J:$J"), "")</f>
        <v>Partial packet in — the COI and the W-9 on file and within requirements. Awaiting the Spend authorization from the vendor's team. Reminder set for Wednesday.</v>
      </c>
      <c r="K288" s="12" t="str" cm="1">
        <f t="array" aca="1" ref="K288" ca="1">_xlfn.XLOOKUP(Assignments[[#This Row],[Company ID]], INDIRECT("'"&amp;Assignments[[#This Row],[Coordinator]]&amp;"'!$B:$B"), INDIRECT("'"&amp;Assignments[[#This Row],[Coordinator]]&amp;"'!$K:$K"), "")</f>
        <v>Received</v>
      </c>
      <c r="L288" s="12" t="str" cm="1">
        <f t="array" aca="1" ref="L288" ca="1">_xlfn.XLOOKUP(Assignments[[#This Row],[Company ID]], INDIRECT("'"&amp;Assignments[[#This Row],[Coordinator]]&amp;"'!$B:$B"), INDIRECT("'"&amp;Assignments[[#This Row],[Coordinator]]&amp;"'!$L:$L"), "")</f>
        <v>RECEIVED</v>
      </c>
    </row>
    <row r="289" spans="1:12" ht="30" customHeight="1" x14ac:dyDescent="0.25">
      <c r="A289" t="s">
        <v>1073</v>
      </c>
      <c r="B289" s="2">
        <v>531290</v>
      </c>
      <c r="C289" t="s">
        <v>1098</v>
      </c>
      <c r="D289" s="1" t="s">
        <v>185</v>
      </c>
      <c r="E289" t="b">
        <v>1</v>
      </c>
      <c r="F289" s="5">
        <v>260200</v>
      </c>
      <c r="G289" t="s">
        <v>1099</v>
      </c>
      <c r="H289" t="s">
        <v>1100</v>
      </c>
      <c r="I289" s="1" t="s">
        <v>1101</v>
      </c>
      <c r="J289" s="60" t="str" cm="1">
        <f t="array" aca="1" ref="J289" ca="1">_xlfn.XLOOKUP(Assignments[[#This Row],[Company ID]], INDIRECT("'"&amp;Assignments[[#This Row],[Coordinator]]&amp;"'!$B:$B"), INDIRECT("'"&amp;Assignments[[#This Row],[Coordinator]]&amp;"'!$J:$J"), "")</f>
        <v>All three required documents were approved on first pass, the Spend authorization included. The Certificate of Insurance names the arena as additional insured, as required. Vendor is good to go.</v>
      </c>
      <c r="K289" s="12" t="str" cm="1">
        <f t="array" aca="1" ref="K289" ca="1">_xlfn.XLOOKUP(Assignments[[#This Row],[Company ID]], INDIRECT("'"&amp;Assignments[[#This Row],[Coordinator]]&amp;"'!$B:$B"), INDIRECT("'"&amp;Assignments[[#This Row],[Coordinator]]&amp;"'!$K:$K"), "")</f>
        <v>Completion</v>
      </c>
      <c r="L289" s="12" t="b" cm="1">
        <f t="array" aca="1" ref="L289" ca="1">_xlfn.XLOOKUP(Assignments[[#This Row],[Company ID]], INDIRECT("'"&amp;Assignments[[#This Row],[Coordinator]]&amp;"'!$B:$B"), INDIRECT("'"&amp;Assignments[[#This Row],[Coordinator]]&amp;"'!$L:$L"), "")</f>
        <v>1</v>
      </c>
    </row>
    <row r="290" spans="1:12" ht="30" customHeight="1" x14ac:dyDescent="0.25">
      <c r="A290" t="s">
        <v>1073</v>
      </c>
      <c r="B290" s="2">
        <v>184644</v>
      </c>
      <c r="C290" t="s">
        <v>1102</v>
      </c>
      <c r="D290" s="1" t="s">
        <v>206</v>
      </c>
      <c r="E290" t="b">
        <v>0</v>
      </c>
      <c r="F290" s="5">
        <v>169200</v>
      </c>
      <c r="G290" t="s">
        <v>807</v>
      </c>
      <c r="H290" t="s">
        <v>1103</v>
      </c>
      <c r="I290" s="1" t="s">
        <v>1104</v>
      </c>
      <c r="J290" s="60" t="str" cm="1">
        <f t="array" aca="1" ref="J290" ca="1">_xlfn.XLOOKUP(Assignments[[#This Row],[Company ID]], INDIRECT("'"&amp;Assignments[[#This Row],[Coordinator]]&amp;"'!$B:$B"), INDIRECT("'"&amp;Assignments[[#This Row],[Coordinator]]&amp;"'!$J:$J"), "")</f>
        <v>Received and accepted the W-9, closing out the packet. No exceptions in compliance review. Vendor status set to active.</v>
      </c>
      <c r="K290" s="12" t="str" cm="1">
        <f t="array" aca="1" ref="K290" ca="1">_xlfn.XLOOKUP(Assignments[[#This Row],[Company ID]], INDIRECT("'"&amp;Assignments[[#This Row],[Coordinator]]&amp;"'!$B:$B"), INDIRECT("'"&amp;Assignments[[#This Row],[Coordinator]]&amp;"'!$K:$K"), "")</f>
        <v>Completion</v>
      </c>
      <c r="L290" s="12" t="b" cm="1">
        <f t="array" aca="1" ref="L290" ca="1">_xlfn.XLOOKUP(Assignments[[#This Row],[Company ID]], INDIRECT("'"&amp;Assignments[[#This Row],[Coordinator]]&amp;"'!$B:$B"), INDIRECT("'"&amp;Assignments[[#This Row],[Coordinator]]&amp;"'!$L:$L"), "")</f>
        <v>1</v>
      </c>
    </row>
    <row r="291" spans="1:12" ht="30" customHeight="1" x14ac:dyDescent="0.25">
      <c r="A291" t="s">
        <v>1073</v>
      </c>
      <c r="B291" s="2">
        <v>727191</v>
      </c>
      <c r="C291" t="s">
        <v>1105</v>
      </c>
      <c r="D291" s="1" t="s">
        <v>206</v>
      </c>
      <c r="E291" t="b">
        <v>0</v>
      </c>
      <c r="F291" s="5">
        <v>154600</v>
      </c>
      <c r="G291" t="s">
        <v>727</v>
      </c>
      <c r="H291" t="s">
        <v>1106</v>
      </c>
      <c r="I291" s="1" t="s">
        <v>1107</v>
      </c>
      <c r="J291" s="60" t="str" cm="1">
        <f t="array" aca="1" ref="J291" ca="1">_xlfn.XLOOKUP(Assignments[[#This Row],[Company ID]], INDIRECT("'"&amp;Assignments[[#This Row],[Coordinator]]&amp;"'!$B:$B"), INDIRECT("'"&amp;Assignments[[#This Row],[Coordinator]]&amp;"'!$J:$J"), "")</f>
        <v>Received the COI and the W-9 through the portal today; the Spend authorization still pending. Contact acknowledged the request and is gathering the paperwork. Checking back Tuesday.</v>
      </c>
      <c r="K291" s="12" t="str" cm="1">
        <f t="array" aca="1" ref="K291" ca="1">_xlfn.XLOOKUP(Assignments[[#This Row],[Company ID]], INDIRECT("'"&amp;Assignments[[#This Row],[Coordinator]]&amp;"'!$B:$B"), INDIRECT("'"&amp;Assignments[[#This Row],[Coordinator]]&amp;"'!$K:$K"), "")</f>
        <v>Received</v>
      </c>
      <c r="L291" s="12" t="str" cm="1">
        <f t="array" aca="1" ref="L291" ca="1">_xlfn.XLOOKUP(Assignments[[#This Row],[Company ID]], INDIRECT("'"&amp;Assignments[[#This Row],[Coordinator]]&amp;"'!$B:$B"), INDIRECT("'"&amp;Assignments[[#This Row],[Coordinator]]&amp;"'!$L:$L"), "")</f>
        <v>RECEIVED</v>
      </c>
    </row>
    <row r="292" spans="1:12" ht="30" customHeight="1" x14ac:dyDescent="0.25">
      <c r="A292" t="s">
        <v>1073</v>
      </c>
      <c r="B292" s="2">
        <v>244411</v>
      </c>
      <c r="C292" t="s">
        <v>1108</v>
      </c>
      <c r="D292" s="1" t="s">
        <v>206</v>
      </c>
      <c r="E292" t="b">
        <v>0</v>
      </c>
      <c r="F292" s="5">
        <v>25400</v>
      </c>
      <c r="G292" t="s">
        <v>470</v>
      </c>
      <c r="H292" t="s">
        <v>384</v>
      </c>
      <c r="I292" s="1" t="s">
        <v>1109</v>
      </c>
      <c r="J292" s="60" t="str" cm="1">
        <f t="array" aca="1" ref="J292" ca="1">_xlfn.XLOOKUP(Assignments[[#This Row],[Company ID]], INDIRECT("'"&amp;Assignments[[#This Row],[Coordinator]]&amp;"'!$B:$B"), INDIRECT("'"&amp;Assignments[[#This Row],[Coordinator]]&amp;"'!$J:$J"), "")</f>
        <v>Progressing well: the COI accepted and logged. Outstanding item is the Spend authorization and the W-9, which the contact expects by Tuesday. Steady communication.</v>
      </c>
      <c r="K292" s="12" t="str" cm="1">
        <f t="array" aca="1" ref="K292" ca="1">_xlfn.XLOOKUP(Assignments[[#This Row],[Company ID]], INDIRECT("'"&amp;Assignments[[#This Row],[Coordinator]]&amp;"'!$B:$B"), INDIRECT("'"&amp;Assignments[[#This Row],[Coordinator]]&amp;"'!$K:$K"), "")</f>
        <v>Received</v>
      </c>
      <c r="L292" s="12" t="str" cm="1">
        <f t="array" aca="1" ref="L292" ca="1">_xlfn.XLOOKUP(Assignments[[#This Row],[Company ID]], INDIRECT("'"&amp;Assignments[[#This Row],[Coordinator]]&amp;"'!$B:$B"), INDIRECT("'"&amp;Assignments[[#This Row],[Coordinator]]&amp;"'!$L:$L"), "")</f>
        <v>RECEIVED</v>
      </c>
    </row>
    <row r="293" spans="1:12" ht="30" customHeight="1" x14ac:dyDescent="0.25">
      <c r="A293" t="s">
        <v>1073</v>
      </c>
      <c r="B293" s="2">
        <v>777043</v>
      </c>
      <c r="C293" t="s">
        <v>1110</v>
      </c>
      <c r="D293" s="1" t="s">
        <v>206</v>
      </c>
      <c r="E293" t="b">
        <v>0</v>
      </c>
      <c r="F293" s="5">
        <v>30800</v>
      </c>
      <c r="G293" t="s">
        <v>1111</v>
      </c>
      <c r="H293" t="s">
        <v>1112</v>
      </c>
      <c r="I293" s="1" t="s">
        <v>1113</v>
      </c>
      <c r="J293" s="60" t="str" cm="1">
        <f t="array" aca="1" ref="J293" ca="1">_xlfn.XLOOKUP(Assignments[[#This Row],[Company ID]], INDIRECT("'"&amp;Assignments[[#This Row],[Coordinator]]&amp;"'!$B:$B"), INDIRECT("'"&amp;Assignments[[#This Row],[Coordinator]]&amp;"'!$J:$J"), "")</f>
        <v>Replies are sporadic and often incomplete, slowing everything down. Still awaiting all required documents. Setting a firm deadline in the next message.</v>
      </c>
      <c r="K293" s="12" t="str" cm="1">
        <f t="array" aca="1" ref="K293" ca="1">_xlfn.XLOOKUP(Assignments[[#This Row],[Company ID]], INDIRECT("'"&amp;Assignments[[#This Row],[Coordinator]]&amp;"'!$B:$B"), INDIRECT("'"&amp;Assignments[[#This Row],[Coordinator]]&amp;"'!$K:$K"), "")</f>
        <v>Poor Communication</v>
      </c>
      <c r="L293" s="12" t="b" cm="1">
        <f t="array" aca="1" ref="L293" ca="1">_xlfn.XLOOKUP(Assignments[[#This Row],[Company ID]], INDIRECT("'"&amp;Assignments[[#This Row],[Coordinator]]&amp;"'!$B:$B"), INDIRECT("'"&amp;Assignments[[#This Row],[Coordinator]]&amp;"'!$L:$L"), "")</f>
        <v>0</v>
      </c>
    </row>
    <row r="294" spans="1:12" ht="30" customHeight="1" x14ac:dyDescent="0.25">
      <c r="A294" t="s">
        <v>1073</v>
      </c>
      <c r="B294" s="2">
        <v>990758</v>
      </c>
      <c r="C294" t="s">
        <v>1114</v>
      </c>
      <c r="D294" s="1" t="s">
        <v>206</v>
      </c>
      <c r="E294" t="b">
        <v>0</v>
      </c>
      <c r="F294" s="5">
        <v>244000</v>
      </c>
      <c r="G294" t="s">
        <v>1115</v>
      </c>
      <c r="H294" t="s">
        <v>1116</v>
      </c>
      <c r="I294" s="1" t="s">
        <v>1117</v>
      </c>
      <c r="J294" s="60" t="str" cm="1">
        <f t="array" aca="1" ref="J294" ca="1">_xlfn.XLOOKUP(Assignments[[#This Row],[Company ID]], INDIRECT("'"&amp;Assignments[[#This Row],[Coordinator]]&amp;"'!$B:$B"), INDIRECT("'"&amp;Assignments[[#This Row],[Coordinator]]&amp;"'!$J:$J"), "")</f>
        <v>All three required documents were approved on first pass, the Spend authorization included. The Certificate of Insurance names the arena as additional insured, as required. Vendor is good to go.</v>
      </c>
      <c r="K294" s="12" t="str" cm="1">
        <f t="array" aca="1" ref="K294" ca="1">_xlfn.XLOOKUP(Assignments[[#This Row],[Company ID]], INDIRECT("'"&amp;Assignments[[#This Row],[Coordinator]]&amp;"'!$B:$B"), INDIRECT("'"&amp;Assignments[[#This Row],[Coordinator]]&amp;"'!$K:$K"), "")</f>
        <v>Completion</v>
      </c>
      <c r="L294" s="12" t="b" cm="1">
        <f t="array" aca="1" ref="L294" ca="1">_xlfn.XLOOKUP(Assignments[[#This Row],[Company ID]], INDIRECT("'"&amp;Assignments[[#This Row],[Coordinator]]&amp;"'!$B:$B"), INDIRECT("'"&amp;Assignments[[#This Row],[Coordinator]]&amp;"'!$L:$L"), "")</f>
        <v>1</v>
      </c>
    </row>
    <row r="295" spans="1:12" ht="30" customHeight="1" x14ac:dyDescent="0.25">
      <c r="A295" t="s">
        <v>1073</v>
      </c>
      <c r="B295" s="2">
        <v>592873</v>
      </c>
      <c r="C295" t="s">
        <v>1118</v>
      </c>
      <c r="D295" s="1" t="s">
        <v>211</v>
      </c>
      <c r="E295" t="b">
        <v>0</v>
      </c>
      <c r="F295" s="5">
        <v>7800</v>
      </c>
      <c r="G295" t="s">
        <v>1119</v>
      </c>
      <c r="H295" t="s">
        <v>1120</v>
      </c>
      <c r="I295" s="1" t="s">
        <v>1121</v>
      </c>
      <c r="J295" s="60" t="str" cm="1">
        <f t="array" aca="1" ref="J295" ca="1">_xlfn.XLOOKUP(Assignments[[#This Row],[Company ID]], INDIRECT("'"&amp;Assignments[[#This Row],[Coordinator]]&amp;"'!$B:$B"), INDIRECT("'"&amp;Assignments[[#This Row],[Coordinator]]&amp;"'!$J:$J"), "")</f>
        <v>Onboarding finalized after a short verification call this Monday. Every document is signed, dated, and on file. Ready for service assignment.</v>
      </c>
      <c r="K295" s="12" t="str" cm="1">
        <f t="array" aca="1" ref="K295" ca="1">_xlfn.XLOOKUP(Assignments[[#This Row],[Company ID]], INDIRECT("'"&amp;Assignments[[#This Row],[Coordinator]]&amp;"'!$B:$B"), INDIRECT("'"&amp;Assignments[[#This Row],[Coordinator]]&amp;"'!$K:$K"), "")</f>
        <v>Completion</v>
      </c>
      <c r="L295" s="12" t="b" cm="1">
        <f t="array" aca="1" ref="L295" ca="1">_xlfn.XLOOKUP(Assignments[[#This Row],[Company ID]], INDIRECT("'"&amp;Assignments[[#This Row],[Coordinator]]&amp;"'!$B:$B"), INDIRECT("'"&amp;Assignments[[#This Row],[Coordinator]]&amp;"'!$L:$L"), "")</f>
        <v>1</v>
      </c>
    </row>
    <row r="296" spans="1:12" ht="30" customHeight="1" x14ac:dyDescent="0.25">
      <c r="A296" t="s">
        <v>1073</v>
      </c>
      <c r="B296" s="2">
        <v>708845</v>
      </c>
      <c r="C296" t="s">
        <v>1122</v>
      </c>
      <c r="D296" s="1" t="s">
        <v>211</v>
      </c>
      <c r="E296" t="b">
        <v>0</v>
      </c>
      <c r="F296" s="5">
        <v>8400</v>
      </c>
      <c r="G296" t="s">
        <v>1123</v>
      </c>
      <c r="H296" t="s">
        <v>501</v>
      </c>
      <c r="I296" s="1" t="s">
        <v>1124</v>
      </c>
      <c r="J296" s="60" t="str" cm="1">
        <f t="array" aca="1" ref="J296" ca="1">_xlfn.XLOOKUP(Assignments[[#This Row],[Company ID]], INDIRECT("'"&amp;Assignments[[#This Row],[Coordinator]]&amp;"'!$B:$B"), INDIRECT("'"&amp;Assignments[[#This Row],[Coordinator]]&amp;"'!$J:$J"), "")</f>
        <v>Contact uploaded the COI and the Spend authorization; the W-9 to follow once signed. Communication has been solid. Next check-in Monday.</v>
      </c>
      <c r="K296" s="12" t="str" cm="1">
        <f t="array" aca="1" ref="K296" ca="1">_xlfn.XLOOKUP(Assignments[[#This Row],[Company ID]], INDIRECT("'"&amp;Assignments[[#This Row],[Coordinator]]&amp;"'!$B:$B"), INDIRECT("'"&amp;Assignments[[#This Row],[Coordinator]]&amp;"'!$K:$K"), "")</f>
        <v>Received</v>
      </c>
      <c r="L296" s="12" t="str" cm="1">
        <f t="array" aca="1" ref="L296" ca="1">_xlfn.XLOOKUP(Assignments[[#This Row],[Company ID]], INDIRECT("'"&amp;Assignments[[#This Row],[Coordinator]]&amp;"'!$B:$B"), INDIRECT("'"&amp;Assignments[[#This Row],[Coordinator]]&amp;"'!$L:$L"), "")</f>
        <v>RECEIVED</v>
      </c>
    </row>
    <row r="297" spans="1:12" ht="30" customHeight="1" x14ac:dyDescent="0.25">
      <c r="A297" t="s">
        <v>1073</v>
      </c>
      <c r="B297" s="2">
        <v>779719</v>
      </c>
      <c r="C297" t="s">
        <v>1125</v>
      </c>
      <c r="D297" s="1" t="s">
        <v>211</v>
      </c>
      <c r="E297" t="b">
        <v>0</v>
      </c>
      <c r="F297" s="5">
        <v>99000</v>
      </c>
      <c r="G297" t="s">
        <v>864</v>
      </c>
      <c r="H297" t="s">
        <v>1126</v>
      </c>
      <c r="I297" s="1" t="s">
        <v>1127</v>
      </c>
      <c r="J297" s="60" t="str" cm="1">
        <f t="array" aca="1" ref="J297" ca="1">_xlfn.XLOOKUP(Assignments[[#This Row],[Company ID]], INDIRECT("'"&amp;Assignments[[#This Row],[Coordinator]]&amp;"'!$B:$B"), INDIRECT("'"&amp;Assignments[[#This Row],[Coordinator]]&amp;"'!$J:$J"), "")</f>
        <v>Full document set received and reconciled against the master vendor record; the Spend authorization needed a quick correction, now resolved. No further discrepancies found. Onboarding officially complete.</v>
      </c>
      <c r="K297" s="12" t="str" cm="1">
        <f t="array" aca="1" ref="K297" ca="1">_xlfn.XLOOKUP(Assignments[[#This Row],[Company ID]], INDIRECT("'"&amp;Assignments[[#This Row],[Coordinator]]&amp;"'!$B:$B"), INDIRECT("'"&amp;Assignments[[#This Row],[Coordinator]]&amp;"'!$K:$K"), "")</f>
        <v>Completion</v>
      </c>
      <c r="L297" s="12" t="b" cm="1">
        <f t="array" aca="1" ref="L297" ca="1">_xlfn.XLOOKUP(Assignments[[#This Row],[Company ID]], INDIRECT("'"&amp;Assignments[[#This Row],[Coordinator]]&amp;"'!$B:$B"), INDIRECT("'"&amp;Assignments[[#This Row],[Coordinator]]&amp;"'!$L:$L"), "")</f>
        <v>1</v>
      </c>
    </row>
    <row r="298" spans="1:12" ht="30" customHeight="1" x14ac:dyDescent="0.25">
      <c r="A298" t="s">
        <v>1073</v>
      </c>
      <c r="B298" s="2">
        <v>225939</v>
      </c>
      <c r="C298" t="s">
        <v>1128</v>
      </c>
      <c r="D298" s="1" t="s">
        <v>211</v>
      </c>
      <c r="E298" t="b">
        <v>0</v>
      </c>
      <c r="F298" s="5">
        <v>98000</v>
      </c>
      <c r="G298" t="s">
        <v>1129</v>
      </c>
      <c r="H298" t="s">
        <v>1130</v>
      </c>
      <c r="I298" s="1" t="s">
        <v>1131</v>
      </c>
      <c r="J298" s="60" t="str" cm="1">
        <f t="array" aca="1" ref="J298" ca="1">_xlfn.XLOOKUP(Assignments[[#This Row],[Company ID]], INDIRECT("'"&amp;Assignments[[#This Row],[Coordinator]]&amp;"'!$B:$B"), INDIRECT("'"&amp;Assignments[[#This Row],[Coordinator]]&amp;"'!$J:$J"), "")</f>
        <v>Received the COI and the W-9 through the portal today; the Spend authorization still pending. Contact acknowledged the request and is gathering the paperwork. Checking back Tuesday.</v>
      </c>
      <c r="K298" s="12" t="str" cm="1">
        <f t="array" aca="1" ref="K298" ca="1">_xlfn.XLOOKUP(Assignments[[#This Row],[Company ID]], INDIRECT("'"&amp;Assignments[[#This Row],[Coordinator]]&amp;"'!$B:$B"), INDIRECT("'"&amp;Assignments[[#This Row],[Coordinator]]&amp;"'!$K:$K"), "")</f>
        <v>Received</v>
      </c>
      <c r="L298" s="12" t="str" cm="1">
        <f t="array" aca="1" ref="L298" ca="1">_xlfn.XLOOKUP(Assignments[[#This Row],[Company ID]], INDIRECT("'"&amp;Assignments[[#This Row],[Coordinator]]&amp;"'!$B:$B"), INDIRECT("'"&amp;Assignments[[#This Row],[Coordinator]]&amp;"'!$L:$L"), "")</f>
        <v>RECEIVED</v>
      </c>
    </row>
    <row r="299" spans="1:12" ht="30" customHeight="1" x14ac:dyDescent="0.25">
      <c r="A299" t="s">
        <v>1073</v>
      </c>
      <c r="B299" s="2">
        <v>249330</v>
      </c>
      <c r="C299" t="s">
        <v>1132</v>
      </c>
      <c r="D299" s="1" t="s">
        <v>520</v>
      </c>
      <c r="E299" t="b">
        <v>0</v>
      </c>
      <c r="F299" s="5">
        <v>52100</v>
      </c>
      <c r="G299" t="s">
        <v>1133</v>
      </c>
      <c r="H299" t="s">
        <v>1134</v>
      </c>
      <c r="I299" s="1" t="s">
        <v>1135</v>
      </c>
      <c r="J299" s="60" t="str" cm="1">
        <f t="array" aca="1" ref="J299" ca="1">_xlfn.XLOOKUP(Assignments[[#This Row],[Company ID]], INDIRECT("'"&amp;Assignments[[#This Row],[Coordinator]]&amp;"'!$B:$B"), INDIRECT("'"&amp;Assignments[[#This Row],[Coordinator]]&amp;"'!$J:$J"), "")</f>
        <v>Full document set received and reconciled against the master vendor record; the COI needed a quick correction, now resolved. No further discrepancies found. Onboarding officially complete.</v>
      </c>
      <c r="K299" s="12" t="str" cm="1">
        <f t="array" aca="1" ref="K299" ca="1">_xlfn.XLOOKUP(Assignments[[#This Row],[Company ID]], INDIRECT("'"&amp;Assignments[[#This Row],[Coordinator]]&amp;"'!$B:$B"), INDIRECT("'"&amp;Assignments[[#This Row],[Coordinator]]&amp;"'!$K:$K"), "")</f>
        <v>Completion</v>
      </c>
      <c r="L299" s="12" t="b" cm="1">
        <f t="array" aca="1" ref="L299" ca="1">_xlfn.XLOOKUP(Assignments[[#This Row],[Company ID]], INDIRECT("'"&amp;Assignments[[#This Row],[Coordinator]]&amp;"'!$B:$B"), INDIRECT("'"&amp;Assignments[[#This Row],[Coordinator]]&amp;"'!$L:$L"), "")</f>
        <v>1</v>
      </c>
    </row>
    <row r="300" spans="1:12" ht="30" customHeight="1" x14ac:dyDescent="0.25">
      <c r="A300" t="s">
        <v>1073</v>
      </c>
      <c r="B300" s="2">
        <v>317040</v>
      </c>
      <c r="C300" t="s">
        <v>1136</v>
      </c>
      <c r="D300" s="1" t="s">
        <v>520</v>
      </c>
      <c r="E300" t="b">
        <v>0</v>
      </c>
      <c r="F300" s="5">
        <v>59600</v>
      </c>
      <c r="G300" t="s">
        <v>1137</v>
      </c>
      <c r="H300" t="s">
        <v>1138</v>
      </c>
      <c r="I300" s="1" t="s">
        <v>1139</v>
      </c>
      <c r="J300" s="60" t="str" cm="1">
        <f t="array" aca="1" ref="J300" ca="1">_xlfn.XLOOKUP(Assignments[[#This Row],[Company ID]], INDIRECT("'"&amp;Assignments[[#This Row],[Coordinator]]&amp;"'!$B:$B"), INDIRECT("'"&amp;Assignments[[#This Row],[Coordinator]]&amp;"'!$J:$J"), "")</f>
        <v>The spend authorization was the last piece and it cleared review this Tuesday. COI, W-9, and Spend authorization are all validated. Vendor activated and notified.</v>
      </c>
      <c r="K300" s="12" t="str" cm="1">
        <f t="array" aca="1" ref="K300" ca="1">_xlfn.XLOOKUP(Assignments[[#This Row],[Company ID]], INDIRECT("'"&amp;Assignments[[#This Row],[Coordinator]]&amp;"'!$B:$B"), INDIRECT("'"&amp;Assignments[[#This Row],[Coordinator]]&amp;"'!$K:$K"), "")</f>
        <v>Completion</v>
      </c>
      <c r="L300" s="12" t="b" cm="1">
        <f t="array" aca="1" ref="L300" ca="1">_xlfn.XLOOKUP(Assignments[[#This Row],[Company ID]], INDIRECT("'"&amp;Assignments[[#This Row],[Coordinator]]&amp;"'!$B:$B"), INDIRECT("'"&amp;Assignments[[#This Row],[Coordinator]]&amp;"'!$L:$L"), "")</f>
        <v>1</v>
      </c>
    </row>
    <row r="301" spans="1:12" ht="30" customHeight="1" x14ac:dyDescent="0.25">
      <c r="A301" t="s">
        <v>1073</v>
      </c>
      <c r="B301" s="2">
        <v>199159</v>
      </c>
      <c r="C301" t="s">
        <v>1140</v>
      </c>
      <c r="D301" s="1" t="s">
        <v>520</v>
      </c>
      <c r="E301" t="b">
        <v>0</v>
      </c>
      <c r="F301" s="5">
        <v>47900</v>
      </c>
      <c r="G301" t="s">
        <v>1141</v>
      </c>
      <c r="H301" t="s">
        <v>1142</v>
      </c>
      <c r="I301" s="1" t="s">
        <v>1143</v>
      </c>
      <c r="J301" s="60" t="str" cm="1">
        <f t="array" aca="1" ref="J301" ca="1">_xlfn.XLOOKUP(Assignments[[#This Row],[Company ID]], INDIRECT("'"&amp;Assignments[[#This Row],[Coordinator]]&amp;"'!$B:$B"), INDIRECT("'"&amp;Assignments[[#This Row],[Coordinator]]&amp;"'!$J:$J"), "")</f>
        <v>The spend authorization pushed back owing to an insurance renewal still in process. The rest of the packet is fine. Expecting resolution by Wednesday.</v>
      </c>
      <c r="K301" s="12" t="str" cm="1">
        <f t="array" aca="1" ref="K301" ca="1">_xlfn.XLOOKUP(Assignments[[#This Row],[Company ID]], INDIRECT("'"&amp;Assignments[[#This Row],[Coordinator]]&amp;"'!$B:$B"), INDIRECT("'"&amp;Assignments[[#This Row],[Coordinator]]&amp;"'!$K:$K"), "")</f>
        <v>Delayed</v>
      </c>
      <c r="L301" s="12" t="b" cm="1">
        <f t="array" aca="1" ref="L301" ca="1">_xlfn.XLOOKUP(Assignments[[#This Row],[Company ID]], INDIRECT("'"&amp;Assignments[[#This Row],[Coordinator]]&amp;"'!$B:$B"), INDIRECT("'"&amp;Assignments[[#This Row],[Coordinator]]&amp;"'!$L:$L"), "")</f>
        <v>0</v>
      </c>
    </row>
    <row r="302" spans="1:12" ht="30" customHeight="1" x14ac:dyDescent="0.25">
      <c r="A302" t="s">
        <v>1073</v>
      </c>
      <c r="B302" s="2">
        <v>469046</v>
      </c>
      <c r="C302" t="s">
        <v>1144</v>
      </c>
      <c r="D302" s="1" t="s">
        <v>520</v>
      </c>
      <c r="E302" t="b">
        <v>0</v>
      </c>
      <c r="F302" s="5">
        <v>7900</v>
      </c>
      <c r="G302" t="s">
        <v>1145</v>
      </c>
      <c r="H302" t="s">
        <v>628</v>
      </c>
      <c r="I302" s="1" t="s">
        <v>1146</v>
      </c>
      <c r="J302" s="60" t="str" cm="1">
        <f t="array" aca="1" ref="J302" ca="1">_xlfn.XLOOKUP(Assignments[[#This Row],[Company ID]], INDIRECT("'"&amp;Assignments[[#This Row],[Coordinator]]&amp;"'!$B:$B"), INDIRECT("'"&amp;Assignments[[#This Row],[Coordinator]]&amp;"'!$J:$J"), "")</f>
        <v>All three required documents were approved on first pass, the Spend authorization included. The Certificate of Insurance names the arena as additional insured, as required. Vendor is good to go.</v>
      </c>
      <c r="K302" s="12" t="str" cm="1">
        <f t="array" aca="1" ref="K302" ca="1">_xlfn.XLOOKUP(Assignments[[#This Row],[Company ID]], INDIRECT("'"&amp;Assignments[[#This Row],[Coordinator]]&amp;"'!$B:$B"), INDIRECT("'"&amp;Assignments[[#This Row],[Coordinator]]&amp;"'!$K:$K"), "")</f>
        <v>Completion</v>
      </c>
      <c r="L302" s="12" t="b" cm="1">
        <f t="array" aca="1" ref="L302" ca="1">_xlfn.XLOOKUP(Assignments[[#This Row],[Company ID]], INDIRECT("'"&amp;Assignments[[#This Row],[Coordinator]]&amp;"'!$B:$B"), INDIRECT("'"&amp;Assignments[[#This Row],[Coordinator]]&amp;"'!$L:$L"), "")</f>
        <v>1</v>
      </c>
    </row>
    <row r="303" spans="1:12" ht="30" customHeight="1" x14ac:dyDescent="0.25">
      <c r="A303" t="s">
        <v>1073</v>
      </c>
      <c r="B303" s="2">
        <v>638535</v>
      </c>
      <c r="C303" t="s">
        <v>1147</v>
      </c>
      <c r="D303" s="1" t="s">
        <v>419</v>
      </c>
      <c r="E303" t="b">
        <v>0</v>
      </c>
      <c r="F303" s="5">
        <v>89800</v>
      </c>
      <c r="G303" t="s">
        <v>1148</v>
      </c>
      <c r="H303" t="s">
        <v>1149</v>
      </c>
      <c r="I303" s="1" t="s">
        <v>1150</v>
      </c>
      <c r="J303" s="60" t="str" cm="1">
        <f t="array" aca="1" ref="J303" ca="1">_xlfn.XLOOKUP(Assignments[[#This Row],[Company ID]], INDIRECT("'"&amp;Assignments[[#This Row],[Coordinator]]&amp;"'!$B:$B"), INDIRECT("'"&amp;Assignments[[#This Row],[Coordinator]]&amp;"'!$J:$J"), "")</f>
        <v>Confirmed all required paperwork on file once the Spend authorization came through the portal. Insurance limits and tax details verified. Onboarding closed out.</v>
      </c>
      <c r="K303" s="12" t="str" cm="1">
        <f t="array" aca="1" ref="K303" ca="1">_xlfn.XLOOKUP(Assignments[[#This Row],[Company ID]], INDIRECT("'"&amp;Assignments[[#This Row],[Coordinator]]&amp;"'!$B:$B"), INDIRECT("'"&amp;Assignments[[#This Row],[Coordinator]]&amp;"'!$K:$K"), "")</f>
        <v>Completion</v>
      </c>
      <c r="L303" s="12" t="b" cm="1">
        <f t="array" aca="1" ref="L303" ca="1">_xlfn.XLOOKUP(Assignments[[#This Row],[Company ID]], INDIRECT("'"&amp;Assignments[[#This Row],[Coordinator]]&amp;"'!$B:$B"), INDIRECT("'"&amp;Assignments[[#This Row],[Coordinator]]&amp;"'!$L:$L"), "")</f>
        <v>1</v>
      </c>
    </row>
    <row r="304" spans="1:12" ht="30" customHeight="1" x14ac:dyDescent="0.25">
      <c r="A304" t="s">
        <v>1073</v>
      </c>
      <c r="B304" s="2">
        <v>401572</v>
      </c>
      <c r="C304" t="s">
        <v>1151</v>
      </c>
      <c r="D304" s="1" t="s">
        <v>419</v>
      </c>
      <c r="E304" t="b">
        <v>0</v>
      </c>
      <c r="F304" s="5">
        <v>113700</v>
      </c>
      <c r="G304" t="s">
        <v>1152</v>
      </c>
      <c r="H304" t="s">
        <v>1153</v>
      </c>
      <c r="I304" s="1" t="s">
        <v>1154</v>
      </c>
      <c r="J304" s="60" t="str" cm="1">
        <f t="array" aca="1" ref="J304" ca="1">_xlfn.XLOOKUP(Assignments[[#This Row],[Company ID]], INDIRECT("'"&amp;Assignments[[#This Row],[Coordinator]]&amp;"'!$B:$B"), INDIRECT("'"&amp;Assignments[[#This Row],[Coordinator]]&amp;"'!$J:$J"), "")</f>
        <v>Contact uploaded the W-9 and the Spend authorization; the COI to follow once signed. Communication has been solid. Next check-in Friday.</v>
      </c>
      <c r="K304" s="12" t="str" cm="1">
        <f t="array" aca="1" ref="K304" ca="1">_xlfn.XLOOKUP(Assignments[[#This Row],[Company ID]], INDIRECT("'"&amp;Assignments[[#This Row],[Coordinator]]&amp;"'!$B:$B"), INDIRECT("'"&amp;Assignments[[#This Row],[Coordinator]]&amp;"'!$K:$K"), "")</f>
        <v>Received</v>
      </c>
      <c r="L304" s="12" t="str" cm="1">
        <f t="array" aca="1" ref="L304" ca="1">_xlfn.XLOOKUP(Assignments[[#This Row],[Company ID]], INDIRECT("'"&amp;Assignments[[#This Row],[Coordinator]]&amp;"'!$B:$B"), INDIRECT("'"&amp;Assignments[[#This Row],[Coordinator]]&amp;"'!$L:$L"), "")</f>
        <v>RECEIVED</v>
      </c>
    </row>
    <row r="305" spans="1:12" ht="30" customHeight="1" x14ac:dyDescent="0.25">
      <c r="A305" t="s">
        <v>1073</v>
      </c>
      <c r="B305" s="2">
        <v>851215</v>
      </c>
      <c r="C305" t="s">
        <v>1155</v>
      </c>
      <c r="D305" s="1" t="s">
        <v>419</v>
      </c>
      <c r="E305" t="b">
        <v>0</v>
      </c>
      <c r="F305" s="5">
        <v>104200</v>
      </c>
      <c r="G305" t="s">
        <v>1156</v>
      </c>
      <c r="H305" t="s">
        <v>1157</v>
      </c>
      <c r="I305" s="1" t="s">
        <v>1158</v>
      </c>
      <c r="J305" s="60" t="str" cm="1">
        <f t="array" aca="1" ref="J305" ca="1">_xlfn.XLOOKUP(Assignments[[#This Row],[Company ID]], INDIRECT("'"&amp;Assignments[[#This Row],[Coordinator]]&amp;"'!$B:$B"), INDIRECT("'"&amp;Assignments[[#This Row],[Coordinator]]&amp;"'!$J:$J"), "")</f>
        <v>First batch received: the W-9 logged and approved. Still awaiting the Spend authorization and the COI. Contact committed to finishing by Tuesday.</v>
      </c>
      <c r="K305" s="12" t="str" cm="1">
        <f t="array" aca="1" ref="K305" ca="1">_xlfn.XLOOKUP(Assignments[[#This Row],[Company ID]], INDIRECT("'"&amp;Assignments[[#This Row],[Coordinator]]&amp;"'!$B:$B"), INDIRECT("'"&amp;Assignments[[#This Row],[Coordinator]]&amp;"'!$K:$K"), "")</f>
        <v>Received</v>
      </c>
      <c r="L305" s="12" t="str" cm="1">
        <f t="array" aca="1" ref="L305" ca="1">_xlfn.XLOOKUP(Assignments[[#This Row],[Company ID]], INDIRECT("'"&amp;Assignments[[#This Row],[Coordinator]]&amp;"'!$B:$B"), INDIRECT("'"&amp;Assignments[[#This Row],[Coordinator]]&amp;"'!$L:$L"), "")</f>
        <v>RECEIVED</v>
      </c>
    </row>
    <row r="306" spans="1:12" ht="30" customHeight="1" x14ac:dyDescent="0.25">
      <c r="A306" t="s">
        <v>1073</v>
      </c>
      <c r="B306" s="2">
        <v>222104</v>
      </c>
      <c r="C306" t="s">
        <v>1159</v>
      </c>
      <c r="D306" s="1" t="s">
        <v>419</v>
      </c>
      <c r="E306" t="b">
        <v>0</v>
      </c>
      <c r="F306" s="5">
        <v>117400</v>
      </c>
      <c r="G306" t="s">
        <v>1160</v>
      </c>
      <c r="H306" t="s">
        <v>1161</v>
      </c>
      <c r="I306" s="1" t="s">
        <v>1162</v>
      </c>
      <c r="J306" s="60" t="str" cm="1">
        <f t="array" aca="1" ref="J306" ca="1">_xlfn.XLOOKUP(Assignments[[#This Row],[Company ID]], INDIRECT("'"&amp;Assignments[[#This Row],[Coordinator]]&amp;"'!$B:$B"), INDIRECT("'"&amp;Assignments[[#This Row],[Coordinator]]&amp;"'!$J:$J"), "")</f>
        <v>The coi pushed back owing to the contact's finance lead is out on PTO. The rest of the packet is fine. Expecting resolution by Tuesday.</v>
      </c>
      <c r="K306" s="12" t="str" cm="1">
        <f t="array" aca="1" ref="K306" ca="1">_xlfn.XLOOKUP(Assignments[[#This Row],[Company ID]], INDIRECT("'"&amp;Assignments[[#This Row],[Coordinator]]&amp;"'!$B:$B"), INDIRECT("'"&amp;Assignments[[#This Row],[Coordinator]]&amp;"'!$K:$K"), "")</f>
        <v>Delayed</v>
      </c>
      <c r="L306" s="12" t="b" cm="1">
        <f t="array" aca="1" ref="L306" ca="1">_xlfn.XLOOKUP(Assignments[[#This Row],[Company ID]], INDIRECT("'"&amp;Assignments[[#This Row],[Coordinator]]&amp;"'!$B:$B"), INDIRECT("'"&amp;Assignments[[#This Row],[Coordinator]]&amp;"'!$L:$L"), "")</f>
        <v>0</v>
      </c>
    </row>
    <row r="307" spans="1:12" ht="30" customHeight="1" x14ac:dyDescent="0.25">
      <c r="A307" t="s">
        <v>1073</v>
      </c>
      <c r="B307" s="2">
        <v>550268</v>
      </c>
      <c r="C307" t="s">
        <v>1163</v>
      </c>
      <c r="D307" s="1" t="s">
        <v>419</v>
      </c>
      <c r="E307" t="b">
        <v>0</v>
      </c>
      <c r="F307" s="5">
        <v>10100</v>
      </c>
      <c r="G307" t="s">
        <v>1164</v>
      </c>
      <c r="H307" t="s">
        <v>1165</v>
      </c>
      <c r="I307" s="1" t="s">
        <v>1166</v>
      </c>
      <c r="J307" s="60" t="str" cm="1">
        <f t="array" aca="1" ref="J307" ca="1">_xlfn.XLOOKUP(Assignments[[#This Row],[Company ID]], INDIRECT("'"&amp;Assignments[[#This Row],[Coordinator]]&amp;"'!$B:$B"), INDIRECT("'"&amp;Assignments[[#This Row],[Coordinator]]&amp;"'!$J:$J"), "")</f>
        <v>Everything is in — the Spend authorization arrived this Friday and matched our records. Contact was proactive throughout. Onboarding complete.</v>
      </c>
      <c r="K307" s="12" t="str" cm="1">
        <f t="array" aca="1" ref="K307" ca="1">_xlfn.XLOOKUP(Assignments[[#This Row],[Company ID]], INDIRECT("'"&amp;Assignments[[#This Row],[Coordinator]]&amp;"'!$B:$B"), INDIRECT("'"&amp;Assignments[[#This Row],[Coordinator]]&amp;"'!$K:$K"), "")</f>
        <v>Completion</v>
      </c>
      <c r="L307" s="12" t="b" cm="1">
        <f t="array" aca="1" ref="L307" ca="1">_xlfn.XLOOKUP(Assignments[[#This Row],[Company ID]], INDIRECT("'"&amp;Assignments[[#This Row],[Coordinator]]&amp;"'!$B:$B"), INDIRECT("'"&amp;Assignments[[#This Row],[Coordinator]]&amp;"'!$L:$L"), "")</f>
        <v>1</v>
      </c>
    </row>
    <row r="308" spans="1:12" ht="30" customHeight="1" x14ac:dyDescent="0.25">
      <c r="A308" t="s">
        <v>1073</v>
      </c>
      <c r="B308" s="2">
        <v>227940</v>
      </c>
      <c r="C308" t="s">
        <v>1167</v>
      </c>
      <c r="D308" s="1" t="s">
        <v>419</v>
      </c>
      <c r="E308" t="b">
        <v>0</v>
      </c>
      <c r="F308" s="5">
        <v>44500</v>
      </c>
      <c r="G308" t="s">
        <v>1168</v>
      </c>
      <c r="H308" t="s">
        <v>1169</v>
      </c>
      <c r="I308" s="1" t="s">
        <v>1170</v>
      </c>
      <c r="J308" s="60" t="str" cm="1">
        <f t="array" aca="1" ref="J308" ca="1">_xlfn.XLOOKUP(Assignments[[#This Row],[Company ID]], INDIRECT("'"&amp;Assignments[[#This Row],[Coordinator]]&amp;"'!$B:$B"), INDIRECT("'"&amp;Assignments[[#This Row],[Coordinator]]&amp;"'!$J:$J"), "")</f>
        <v>Progressing well: the Spend authorization accepted and logged. Outstanding item is the COI and the W-9, which the contact expects by Wednesday. Steady communication.</v>
      </c>
      <c r="K308" s="12" t="str" cm="1">
        <f t="array" aca="1" ref="K308" ca="1">_xlfn.XLOOKUP(Assignments[[#This Row],[Company ID]], INDIRECT("'"&amp;Assignments[[#This Row],[Coordinator]]&amp;"'!$B:$B"), INDIRECT("'"&amp;Assignments[[#This Row],[Coordinator]]&amp;"'!$K:$K"), "")</f>
        <v>Received</v>
      </c>
      <c r="L308" s="12" t="str" cm="1">
        <f t="array" aca="1" ref="L308" ca="1">_xlfn.XLOOKUP(Assignments[[#This Row],[Company ID]], INDIRECT("'"&amp;Assignments[[#This Row],[Coordinator]]&amp;"'!$B:$B"), INDIRECT("'"&amp;Assignments[[#This Row],[Coordinator]]&amp;"'!$L:$L"), "")</f>
        <v>RECEIVED</v>
      </c>
    </row>
    <row r="309" spans="1:12" ht="30" customHeight="1" x14ac:dyDescent="0.25">
      <c r="A309" t="s">
        <v>1073</v>
      </c>
      <c r="B309" s="2">
        <v>100224</v>
      </c>
      <c r="C309" t="s">
        <v>1171</v>
      </c>
      <c r="D309" s="1" t="s">
        <v>419</v>
      </c>
      <c r="E309" t="b">
        <v>0</v>
      </c>
      <c r="F309" s="5">
        <v>22300</v>
      </c>
      <c r="G309" t="s">
        <v>1141</v>
      </c>
      <c r="H309" t="s">
        <v>1172</v>
      </c>
      <c r="I309" s="1" t="s">
        <v>1173</v>
      </c>
      <c r="J309" s="60" t="str" cm="1">
        <f t="array" aca="1" ref="J309" ca="1">_xlfn.XLOOKUP(Assignments[[#This Row],[Company ID]], INDIRECT("'"&amp;Assignments[[#This Row],[Coordinator]]&amp;"'!$B:$B"), INDIRECT("'"&amp;Assignments[[#This Row],[Coordinator]]&amp;"'!$J:$J"), "")</f>
        <v>The spend authorization received and verified; the COI and the W-9 still outstanding. Contact confirmed the remainder will be submitted by Thursday. Following up then.</v>
      </c>
      <c r="K309" s="12" t="str" cm="1">
        <f t="array" aca="1" ref="K309" ca="1">_xlfn.XLOOKUP(Assignments[[#This Row],[Company ID]], INDIRECT("'"&amp;Assignments[[#This Row],[Coordinator]]&amp;"'!$B:$B"), INDIRECT("'"&amp;Assignments[[#This Row],[Coordinator]]&amp;"'!$K:$K"), "")</f>
        <v>Received</v>
      </c>
      <c r="L309" s="12" t="str" cm="1">
        <f t="array" aca="1" ref="L309" ca="1">_xlfn.XLOOKUP(Assignments[[#This Row],[Company ID]], INDIRECT("'"&amp;Assignments[[#This Row],[Coordinator]]&amp;"'!$B:$B"), INDIRECT("'"&amp;Assignments[[#This Row],[Coordinator]]&amp;"'!$L:$L"), "")</f>
        <v>RECEIVED</v>
      </c>
    </row>
    <row r="310" spans="1:12" ht="30" customHeight="1" x14ac:dyDescent="0.25">
      <c r="A310" t="s">
        <v>1073</v>
      </c>
      <c r="B310" s="2">
        <v>207622</v>
      </c>
      <c r="C310" t="s">
        <v>1174</v>
      </c>
      <c r="D310" s="1" t="s">
        <v>216</v>
      </c>
      <c r="E310" t="b">
        <v>0</v>
      </c>
      <c r="F310" s="5">
        <v>23500</v>
      </c>
      <c r="G310" t="s">
        <v>1175</v>
      </c>
      <c r="H310" t="s">
        <v>1176</v>
      </c>
      <c r="I310" s="1" t="s">
        <v>1177</v>
      </c>
      <c r="J310" s="60" t="str" cm="1">
        <f t="array" aca="1" ref="J310" ca="1">_xlfn.XLOOKUP(Assignments[[#This Row],[Company ID]], INDIRECT("'"&amp;Assignments[[#This Row],[Coordinator]]&amp;"'!$B:$B"), INDIRECT("'"&amp;Assignments[[#This Row],[Coordinator]]&amp;"'!$J:$J"), "")</f>
        <v>All onboarding documents — COI, W-9, and Spend authorization — are received and verified, with the COI arriving last. Compliance review passed with no exceptions. Vendor is fully onboarded and cleared for service.</v>
      </c>
      <c r="K310" s="12" t="str" cm="1">
        <f t="array" aca="1" ref="K310" ca="1">_xlfn.XLOOKUP(Assignments[[#This Row],[Company ID]], INDIRECT("'"&amp;Assignments[[#This Row],[Coordinator]]&amp;"'!$B:$B"), INDIRECT("'"&amp;Assignments[[#This Row],[Coordinator]]&amp;"'!$K:$K"), "")</f>
        <v>Completion</v>
      </c>
      <c r="L310" s="12" t="b" cm="1">
        <f t="array" aca="1" ref="L310" ca="1">_xlfn.XLOOKUP(Assignments[[#This Row],[Company ID]], INDIRECT("'"&amp;Assignments[[#This Row],[Coordinator]]&amp;"'!$B:$B"), INDIRECT("'"&amp;Assignments[[#This Row],[Coordinator]]&amp;"'!$L:$L"), "")</f>
        <v>1</v>
      </c>
    </row>
    <row r="311" spans="1:12" ht="30" customHeight="1" x14ac:dyDescent="0.25">
      <c r="A311" t="s">
        <v>1073</v>
      </c>
      <c r="B311" s="2">
        <v>751243</v>
      </c>
      <c r="C311" t="s">
        <v>1178</v>
      </c>
      <c r="D311" s="1" t="s">
        <v>216</v>
      </c>
      <c r="E311" t="b">
        <v>0</v>
      </c>
      <c r="F311" s="5">
        <v>41300</v>
      </c>
      <c r="G311" t="s">
        <v>1179</v>
      </c>
      <c r="H311" t="s">
        <v>1180</v>
      </c>
      <c r="I311" s="1" t="s">
        <v>1181</v>
      </c>
      <c r="J311" s="60" t="str" cm="1">
        <f t="array" aca="1" ref="J311" ca="1">_xlfn.XLOOKUP(Assignments[[#This Row],[Company ID]], INDIRECT("'"&amp;Assignments[[#This Row],[Coordinator]]&amp;"'!$B:$B"), INDIRECT("'"&amp;Assignments[[#This Row],[Coordinator]]&amp;"'!$J:$J"), "")</f>
        <v>All onboarding documents — COI, W-9, and Spend authorization — are received and verified, with the Spend authorization arriving last. Compliance review passed with no exceptions. Vendor is fully onboarded and cleared for service.</v>
      </c>
      <c r="K311" s="12" t="str" cm="1">
        <f t="array" aca="1" ref="K311" ca="1">_xlfn.XLOOKUP(Assignments[[#This Row],[Company ID]], INDIRECT("'"&amp;Assignments[[#This Row],[Coordinator]]&amp;"'!$B:$B"), INDIRECT("'"&amp;Assignments[[#This Row],[Coordinator]]&amp;"'!$K:$K"), "")</f>
        <v>Completion</v>
      </c>
      <c r="L311" s="12" t="b" cm="1">
        <f t="array" aca="1" ref="L311" ca="1">_xlfn.XLOOKUP(Assignments[[#This Row],[Company ID]], INDIRECT("'"&amp;Assignments[[#This Row],[Coordinator]]&amp;"'!$B:$B"), INDIRECT("'"&amp;Assignments[[#This Row],[Coordinator]]&amp;"'!$L:$L"), "")</f>
        <v>1</v>
      </c>
    </row>
    <row r="312" spans="1:12" ht="30" customHeight="1" x14ac:dyDescent="0.25">
      <c r="A312" t="s">
        <v>1073</v>
      </c>
      <c r="B312" s="2">
        <v>126824</v>
      </c>
      <c r="C312" t="s">
        <v>1182</v>
      </c>
      <c r="D312" s="1" t="s">
        <v>216</v>
      </c>
      <c r="E312" t="b">
        <v>0</v>
      </c>
      <c r="F312" s="5">
        <v>33900</v>
      </c>
      <c r="G312" t="s">
        <v>1183</v>
      </c>
      <c r="H312" t="s">
        <v>1184</v>
      </c>
      <c r="I312" s="1" t="s">
        <v>1185</v>
      </c>
      <c r="J312" s="60" t="str" cm="1">
        <f t="array" aca="1" ref="J312" ca="1">_xlfn.XLOOKUP(Assignments[[#This Row],[Company ID]], INDIRECT("'"&amp;Assignments[[#This Row],[Coordinator]]&amp;"'!$B:$B"), INDIRECT("'"&amp;Assignments[[#This Row],[Coordinator]]&amp;"'!$J:$J"), "")</f>
        <v>The spend authorization pushed back owing to a legal entity name change working through their system. The rest of the packet is fine. Expecting resolution by Tuesday.</v>
      </c>
      <c r="K312" s="12" t="str" cm="1">
        <f t="array" aca="1" ref="K312" ca="1">_xlfn.XLOOKUP(Assignments[[#This Row],[Company ID]], INDIRECT("'"&amp;Assignments[[#This Row],[Coordinator]]&amp;"'!$B:$B"), INDIRECT("'"&amp;Assignments[[#This Row],[Coordinator]]&amp;"'!$K:$K"), "")</f>
        <v>Delayed</v>
      </c>
      <c r="L312" s="12" t="b" cm="1">
        <f t="array" aca="1" ref="L312" ca="1">_xlfn.XLOOKUP(Assignments[[#This Row],[Company ID]], INDIRECT("'"&amp;Assignments[[#This Row],[Coordinator]]&amp;"'!$B:$B"), INDIRECT("'"&amp;Assignments[[#This Row],[Coordinator]]&amp;"'!$L:$L"), "")</f>
        <v>0</v>
      </c>
    </row>
    <row r="313" spans="1:12" ht="30" customHeight="1" x14ac:dyDescent="0.25">
      <c r="A313" t="s">
        <v>1073</v>
      </c>
      <c r="B313" s="2">
        <v>951340</v>
      </c>
      <c r="C313" t="s">
        <v>1186</v>
      </c>
      <c r="D313" s="1" t="s">
        <v>221</v>
      </c>
      <c r="E313" t="b">
        <v>0</v>
      </c>
      <c r="F313" s="5">
        <v>1400</v>
      </c>
      <c r="G313" t="s">
        <v>1187</v>
      </c>
      <c r="H313" t="s">
        <v>1188</v>
      </c>
      <c r="I313" s="1" t="s">
        <v>1189</v>
      </c>
      <c r="J313" s="60" t="str" cm="1">
        <f t="array" aca="1" ref="J313" ca="1">_xlfn.XLOOKUP(Assignments[[#This Row],[Company ID]], INDIRECT("'"&amp;Assignments[[#This Row],[Coordinator]]&amp;"'!$B:$B"), INDIRECT("'"&amp;Assignments[[#This Row],[Coordinator]]&amp;"'!$J:$J"), "")</f>
        <v>Contact delivered the COI ahead of the deadline, completing the packet. Coverage and W-9 details confirmed current. Cleared for daily operations support.</v>
      </c>
      <c r="K313" s="12" t="str" cm="1">
        <f t="array" aca="1" ref="K313" ca="1">_xlfn.XLOOKUP(Assignments[[#This Row],[Company ID]], INDIRECT("'"&amp;Assignments[[#This Row],[Coordinator]]&amp;"'!$B:$B"), INDIRECT("'"&amp;Assignments[[#This Row],[Coordinator]]&amp;"'!$K:$K"), "")</f>
        <v>Completion</v>
      </c>
      <c r="L313" s="12" t="b" cm="1">
        <f t="array" aca="1" ref="L313" ca="1">_xlfn.XLOOKUP(Assignments[[#This Row],[Company ID]], INDIRECT("'"&amp;Assignments[[#This Row],[Coordinator]]&amp;"'!$B:$B"), INDIRECT("'"&amp;Assignments[[#This Row],[Coordinator]]&amp;"'!$L:$L"), "")</f>
        <v>1</v>
      </c>
    </row>
    <row r="314" spans="1:12" ht="30" customHeight="1" x14ac:dyDescent="0.25">
      <c r="A314" t="s">
        <v>1073</v>
      </c>
      <c r="B314" s="2">
        <v>501798</v>
      </c>
      <c r="C314" t="s">
        <v>1190</v>
      </c>
      <c r="D314" s="1" t="s">
        <v>221</v>
      </c>
      <c r="E314" t="b">
        <v>0</v>
      </c>
      <c r="F314" s="5">
        <v>13700</v>
      </c>
      <c r="G314" t="s">
        <v>1191</v>
      </c>
      <c r="H314" t="s">
        <v>1192</v>
      </c>
      <c r="I314" s="1" t="s">
        <v>1193</v>
      </c>
      <c r="J314" s="60" t="str" cm="1">
        <f t="array" aca="1" ref="J314" ca="1">_xlfn.XLOOKUP(Assignments[[#This Row],[Company ID]], INDIRECT("'"&amp;Assignments[[#This Row],[Coordinator]]&amp;"'!$B:$B"), INDIRECT("'"&amp;Assignments[[#This Row],[Coordinator]]&amp;"'!$J:$J"), "")</f>
        <v>Contact uploaded the COI and the W-9; the Spend authorization to follow once signed. Communication has been solid. Next check-in Friday.</v>
      </c>
      <c r="K314" s="12" t="str" cm="1">
        <f t="array" aca="1" ref="K314" ca="1">_xlfn.XLOOKUP(Assignments[[#This Row],[Company ID]], INDIRECT("'"&amp;Assignments[[#This Row],[Coordinator]]&amp;"'!$B:$B"), INDIRECT("'"&amp;Assignments[[#This Row],[Coordinator]]&amp;"'!$K:$K"), "")</f>
        <v>Received</v>
      </c>
      <c r="L314" s="12" t="str" cm="1">
        <f t="array" aca="1" ref="L314" ca="1">_xlfn.XLOOKUP(Assignments[[#This Row],[Company ID]], INDIRECT("'"&amp;Assignments[[#This Row],[Coordinator]]&amp;"'!$B:$B"), INDIRECT("'"&amp;Assignments[[#This Row],[Coordinator]]&amp;"'!$L:$L"), "")</f>
        <v>RECEIVED</v>
      </c>
    </row>
    <row r="315" spans="1:12" ht="30" customHeight="1" x14ac:dyDescent="0.25">
      <c r="A315" t="s">
        <v>1073</v>
      </c>
      <c r="B315" s="2">
        <v>921364</v>
      </c>
      <c r="C315" t="s">
        <v>1194</v>
      </c>
      <c r="D315" s="1" t="s">
        <v>221</v>
      </c>
      <c r="E315" t="b">
        <v>0</v>
      </c>
      <c r="F315" s="5">
        <v>8300</v>
      </c>
      <c r="G315" t="s">
        <v>1195</v>
      </c>
      <c r="H315" t="s">
        <v>1196</v>
      </c>
      <c r="I315" s="1" t="s">
        <v>1197</v>
      </c>
      <c r="J315" s="60" t="str" cm="1">
        <f t="array" aca="1" ref="J315" ca="1">_xlfn.XLOOKUP(Assignments[[#This Row],[Company ID]], INDIRECT("'"&amp;Assignments[[#This Row],[Coordinator]]&amp;"'!$B:$B"), INDIRECT("'"&amp;Assignments[[#This Row],[Coordinator]]&amp;"'!$J:$J"), "")</f>
        <v>Partial packet in — the W-9 and the Spend authorization on file and within requirements. Awaiting the COI from the vendor's team. Reminder set for Monday.</v>
      </c>
      <c r="K315" s="12" t="str" cm="1">
        <f t="array" aca="1" ref="K315" ca="1">_xlfn.XLOOKUP(Assignments[[#This Row],[Company ID]], INDIRECT("'"&amp;Assignments[[#This Row],[Coordinator]]&amp;"'!$B:$B"), INDIRECT("'"&amp;Assignments[[#This Row],[Coordinator]]&amp;"'!$K:$K"), "")</f>
        <v>Received</v>
      </c>
      <c r="L315" s="12" t="str" cm="1">
        <f t="array" aca="1" ref="L315" ca="1">_xlfn.XLOOKUP(Assignments[[#This Row],[Company ID]], INDIRECT("'"&amp;Assignments[[#This Row],[Coordinator]]&amp;"'!$B:$B"), INDIRECT("'"&amp;Assignments[[#This Row],[Coordinator]]&amp;"'!$L:$L"), "")</f>
        <v>RECEIVED</v>
      </c>
    </row>
    <row r="316" spans="1:12" ht="30" customHeight="1" x14ac:dyDescent="0.25">
      <c r="A316" t="s">
        <v>1073</v>
      </c>
      <c r="B316" s="2">
        <v>477420</v>
      </c>
      <c r="C316" t="s">
        <v>1198</v>
      </c>
      <c r="D316" s="1" t="s">
        <v>432</v>
      </c>
      <c r="E316" t="b">
        <v>0</v>
      </c>
      <c r="F316" s="5">
        <v>160200</v>
      </c>
      <c r="G316" t="s">
        <v>1199</v>
      </c>
      <c r="H316" t="s">
        <v>1200</v>
      </c>
      <c r="I316" s="1" t="s">
        <v>1201</v>
      </c>
      <c r="J316" s="60" t="str" cm="1">
        <f t="array" aca="1" ref="J316" ca="1">_xlfn.XLOOKUP(Assignments[[#This Row],[Company ID]], INDIRECT("'"&amp;Assignments[[#This Row],[Coordinator]]&amp;"'!$B:$B"), INDIRECT("'"&amp;Assignments[[#This Row],[Coordinator]]&amp;"'!$J:$J"), "")</f>
        <v>Contact uploaded the COI and the Spend authorization; the W-9 to follow once signed. Communication has been solid. Next check-in Thursday.</v>
      </c>
      <c r="K316" s="12" t="str" cm="1">
        <f t="array" aca="1" ref="K316" ca="1">_xlfn.XLOOKUP(Assignments[[#This Row],[Company ID]], INDIRECT("'"&amp;Assignments[[#This Row],[Coordinator]]&amp;"'!$B:$B"), INDIRECT("'"&amp;Assignments[[#This Row],[Coordinator]]&amp;"'!$K:$K"), "")</f>
        <v>Received</v>
      </c>
      <c r="L316" s="12" t="str" cm="1">
        <f t="array" aca="1" ref="L316" ca="1">_xlfn.XLOOKUP(Assignments[[#This Row],[Company ID]], INDIRECT("'"&amp;Assignments[[#This Row],[Coordinator]]&amp;"'!$B:$B"), INDIRECT("'"&amp;Assignments[[#This Row],[Coordinator]]&amp;"'!$L:$L"), "")</f>
        <v>RECEIVED</v>
      </c>
    </row>
    <row r="317" spans="1:12" ht="30" customHeight="1" x14ac:dyDescent="0.25">
      <c r="A317" t="s">
        <v>1073</v>
      </c>
      <c r="B317" s="2">
        <v>826187</v>
      </c>
      <c r="C317" t="s">
        <v>1202</v>
      </c>
      <c r="D317" s="1" t="s">
        <v>432</v>
      </c>
      <c r="E317" t="b">
        <v>0</v>
      </c>
      <c r="F317" s="5">
        <v>30600</v>
      </c>
      <c r="G317" t="s">
        <v>1203</v>
      </c>
      <c r="H317" t="s">
        <v>1204</v>
      </c>
      <c r="I317" s="1" t="s">
        <v>1205</v>
      </c>
      <c r="J317" s="60" t="str" cm="1">
        <f t="array" aca="1" ref="J317" ca="1">_xlfn.XLOOKUP(Assignments[[#This Row],[Company ID]], INDIRECT("'"&amp;Assignments[[#This Row],[Coordinator]]&amp;"'!$B:$B"), INDIRECT("'"&amp;Assignments[[#This Row],[Coordinator]]&amp;"'!$J:$J"), "")</f>
        <v>Partial packet in — the COI and the W-9 on file and within requirements. Awaiting the Spend authorization from the vendor's team. Reminder set for Tuesday.</v>
      </c>
      <c r="K317" s="12" t="str" cm="1">
        <f t="array" aca="1" ref="K317" ca="1">_xlfn.XLOOKUP(Assignments[[#This Row],[Company ID]], INDIRECT("'"&amp;Assignments[[#This Row],[Coordinator]]&amp;"'!$B:$B"), INDIRECT("'"&amp;Assignments[[#This Row],[Coordinator]]&amp;"'!$K:$K"), "")</f>
        <v>Received</v>
      </c>
      <c r="L317" s="12" t="str" cm="1">
        <f t="array" aca="1" ref="L317" ca="1">_xlfn.XLOOKUP(Assignments[[#This Row],[Company ID]], INDIRECT("'"&amp;Assignments[[#This Row],[Coordinator]]&amp;"'!$B:$B"), INDIRECT("'"&amp;Assignments[[#This Row],[Coordinator]]&amp;"'!$L:$L"), "")</f>
        <v>RECEIVED</v>
      </c>
    </row>
    <row r="318" spans="1:12" ht="30" customHeight="1" x14ac:dyDescent="0.25">
      <c r="A318" t="s">
        <v>1073</v>
      </c>
      <c r="B318" s="2">
        <v>387134</v>
      </c>
      <c r="C318" t="s">
        <v>1206</v>
      </c>
      <c r="D318" s="1" t="s">
        <v>432</v>
      </c>
      <c r="E318" t="b">
        <v>0</v>
      </c>
      <c r="F318" s="5">
        <v>89800</v>
      </c>
      <c r="G318" t="s">
        <v>1148</v>
      </c>
      <c r="H318" t="s">
        <v>1207</v>
      </c>
      <c r="I318" s="1" t="s">
        <v>1208</v>
      </c>
      <c r="J318" s="60" t="str" cm="1">
        <f t="array" aca="1" ref="J318" ca="1">_xlfn.XLOOKUP(Assignments[[#This Row],[Company ID]], INDIRECT("'"&amp;Assignments[[#This Row],[Coordinator]]&amp;"'!$B:$B"), INDIRECT("'"&amp;Assignments[[#This Row],[Coordinator]]&amp;"'!$J:$J"), "")</f>
        <v>Progressing well: the COI accepted and logged. Outstanding item is the Spend authorization and the W-9, which the contact expects by next week. Steady communication.</v>
      </c>
      <c r="K318" s="12" t="str" cm="1">
        <f t="array" aca="1" ref="K318" ca="1">_xlfn.XLOOKUP(Assignments[[#This Row],[Company ID]], INDIRECT("'"&amp;Assignments[[#This Row],[Coordinator]]&amp;"'!$B:$B"), INDIRECT("'"&amp;Assignments[[#This Row],[Coordinator]]&amp;"'!$K:$K"), "")</f>
        <v>Received</v>
      </c>
      <c r="L318" s="12" t="str" cm="1">
        <f t="array" aca="1" ref="L318" ca="1">_xlfn.XLOOKUP(Assignments[[#This Row],[Company ID]], INDIRECT("'"&amp;Assignments[[#This Row],[Coordinator]]&amp;"'!$B:$B"), INDIRECT("'"&amp;Assignments[[#This Row],[Coordinator]]&amp;"'!$L:$L"), "")</f>
        <v>RECEIVED</v>
      </c>
    </row>
    <row r="319" spans="1:12" ht="30" customHeight="1" x14ac:dyDescent="0.25">
      <c r="A319" t="s">
        <v>1073</v>
      </c>
      <c r="B319" s="2">
        <v>235265</v>
      </c>
      <c r="C319" t="s">
        <v>1209</v>
      </c>
      <c r="D319" s="1" t="s">
        <v>437</v>
      </c>
      <c r="E319" t="b">
        <v>0</v>
      </c>
      <c r="F319" s="5">
        <v>31800</v>
      </c>
      <c r="G319" t="s">
        <v>1210</v>
      </c>
      <c r="H319" t="s">
        <v>1211</v>
      </c>
      <c r="I319" s="1" t="s">
        <v>1212</v>
      </c>
      <c r="J319" s="60" t="str" cm="1">
        <f t="array" aca="1" ref="J319" ca="1">_xlfn.XLOOKUP(Assignments[[#This Row],[Company ID]], INDIRECT("'"&amp;Assignments[[#This Row],[Coordinator]]&amp;"'!$B:$B"), INDIRECT("'"&amp;Assignments[[#This Row],[Coordinator]]&amp;"'!$J:$J"), "")</f>
        <v>Received and accepted the W-9, closing out the packet. No exceptions in compliance review. Vendor status set to active.</v>
      </c>
      <c r="K319" s="12" t="str" cm="1">
        <f t="array" aca="1" ref="K319" ca="1">_xlfn.XLOOKUP(Assignments[[#This Row],[Company ID]], INDIRECT("'"&amp;Assignments[[#This Row],[Coordinator]]&amp;"'!$B:$B"), INDIRECT("'"&amp;Assignments[[#This Row],[Coordinator]]&amp;"'!$K:$K"), "")</f>
        <v>Completion</v>
      </c>
      <c r="L319" s="12" t="b" cm="1">
        <f t="array" aca="1" ref="L319" ca="1">_xlfn.XLOOKUP(Assignments[[#This Row],[Company ID]], INDIRECT("'"&amp;Assignments[[#This Row],[Coordinator]]&amp;"'!$B:$B"), INDIRECT("'"&amp;Assignments[[#This Row],[Coordinator]]&amp;"'!$L:$L"), "")</f>
        <v>1</v>
      </c>
    </row>
    <row r="320" spans="1:12" ht="30" customHeight="1" x14ac:dyDescent="0.25">
      <c r="A320" t="s">
        <v>1073</v>
      </c>
      <c r="B320" s="2">
        <v>615887</v>
      </c>
      <c r="C320" t="s">
        <v>1213</v>
      </c>
      <c r="D320" s="1" t="s">
        <v>570</v>
      </c>
      <c r="E320" t="b">
        <v>0</v>
      </c>
      <c r="F320" s="5">
        <v>69900</v>
      </c>
      <c r="G320" t="s">
        <v>1214</v>
      </c>
      <c r="H320" t="s">
        <v>1215</v>
      </c>
      <c r="I320" s="1" t="s">
        <v>1216</v>
      </c>
      <c r="J320" s="60" t="str" cm="1">
        <f t="array" aca="1" ref="J320" ca="1">_xlfn.XLOOKUP(Assignments[[#This Row],[Company ID]], INDIRECT("'"&amp;Assignments[[#This Row],[Coordinator]]&amp;"'!$B:$B"), INDIRECT("'"&amp;Assignments[[#This Row],[Coordinator]]&amp;"'!$J:$J"), "")</f>
        <v>Progressing well: the W-9 accepted and logged. Outstanding item is the Spend authorization and the COI, which the contact expects by Tuesday. Steady communication.</v>
      </c>
      <c r="K320" s="12" t="str" cm="1">
        <f t="array" aca="1" ref="K320" ca="1">_xlfn.XLOOKUP(Assignments[[#This Row],[Company ID]], INDIRECT("'"&amp;Assignments[[#This Row],[Coordinator]]&amp;"'!$B:$B"), INDIRECT("'"&amp;Assignments[[#This Row],[Coordinator]]&amp;"'!$K:$K"), "")</f>
        <v>Received</v>
      </c>
      <c r="L320" s="12" t="str" cm="1">
        <f t="array" aca="1" ref="L320" ca="1">_xlfn.XLOOKUP(Assignments[[#This Row],[Company ID]], INDIRECT("'"&amp;Assignments[[#This Row],[Coordinator]]&amp;"'!$B:$B"), INDIRECT("'"&amp;Assignments[[#This Row],[Coordinator]]&amp;"'!$L:$L"), "")</f>
        <v>RECEIVED</v>
      </c>
    </row>
    <row r="321" spans="1:12" ht="30" customHeight="1" x14ac:dyDescent="0.25">
      <c r="A321" t="s">
        <v>1073</v>
      </c>
      <c r="B321" s="2">
        <v>998249</v>
      </c>
      <c r="C321" t="s">
        <v>1217</v>
      </c>
      <c r="D321" s="1" t="s">
        <v>441</v>
      </c>
      <c r="E321" t="b">
        <v>0</v>
      </c>
      <c r="F321" s="5">
        <v>17700</v>
      </c>
      <c r="G321" t="s">
        <v>1218</v>
      </c>
      <c r="H321" t="s">
        <v>1219</v>
      </c>
      <c r="I321" s="1" t="s">
        <v>1220</v>
      </c>
      <c r="J321" s="60" t="str" cm="1">
        <f t="array" aca="1" ref="J321" ca="1">_xlfn.XLOOKUP(Assignments[[#This Row],[Company ID]], INDIRECT("'"&amp;Assignments[[#This Row],[Coordinator]]&amp;"'!$B:$B"), INDIRECT("'"&amp;Assignments[[#This Row],[Coordinator]]&amp;"'!$J:$J"), "")</f>
        <v>The coi cleared compliance review. The w-9 and the spend authorization was flagged as still needed and re-requested. Contact responsive and engaged.</v>
      </c>
      <c r="K321" s="12" t="str" cm="1">
        <f t="array" aca="1" ref="K321" ca="1">_xlfn.XLOOKUP(Assignments[[#This Row],[Company ID]], INDIRECT("'"&amp;Assignments[[#This Row],[Coordinator]]&amp;"'!$B:$B"), INDIRECT("'"&amp;Assignments[[#This Row],[Coordinator]]&amp;"'!$K:$K"), "")</f>
        <v>Received</v>
      </c>
      <c r="L321" s="12" t="str" cm="1">
        <f t="array" aca="1" ref="L321" ca="1">_xlfn.XLOOKUP(Assignments[[#This Row],[Company ID]], INDIRECT("'"&amp;Assignments[[#This Row],[Coordinator]]&amp;"'!$B:$B"), INDIRECT("'"&amp;Assignments[[#This Row],[Coordinator]]&amp;"'!$L:$L"), "")</f>
        <v>RECEIVED</v>
      </c>
    </row>
    <row r="322" spans="1:12" ht="30" customHeight="1" x14ac:dyDescent="0.25">
      <c r="A322" t="s">
        <v>1073</v>
      </c>
      <c r="B322" s="2">
        <v>146828</v>
      </c>
      <c r="C322" t="s">
        <v>1221</v>
      </c>
      <c r="D322" s="1" t="s">
        <v>441</v>
      </c>
      <c r="E322" t="b">
        <v>0</v>
      </c>
      <c r="F322" s="5">
        <v>4800</v>
      </c>
      <c r="G322" t="s">
        <v>1222</v>
      </c>
      <c r="H322" t="s">
        <v>1223</v>
      </c>
      <c r="I322" s="1" t="s">
        <v>1224</v>
      </c>
      <c r="J322" s="60" t="str" cm="1">
        <f t="array" aca="1" ref="J322" ca="1">_xlfn.XLOOKUP(Assignments[[#This Row],[Company ID]], INDIRECT("'"&amp;Assignments[[#This Row],[Coordinator]]&amp;"'!$B:$B"), INDIRECT("'"&amp;Assignments[[#This Row],[Coordinator]]&amp;"'!$J:$J"), "")</f>
        <v>Documents delayed — a vendor-side system migration that temporarily locked their files. Contact confirmed the item is in progress. Monitoring and following up Friday.</v>
      </c>
      <c r="K322" s="12" t="str" cm="1">
        <f t="array" aca="1" ref="K322" ca="1">_xlfn.XLOOKUP(Assignments[[#This Row],[Company ID]], INDIRECT("'"&amp;Assignments[[#This Row],[Coordinator]]&amp;"'!$B:$B"), INDIRECT("'"&amp;Assignments[[#This Row],[Coordinator]]&amp;"'!$K:$K"), "")</f>
        <v>Delayed</v>
      </c>
      <c r="L322" s="12" t="b" cm="1">
        <f t="array" aca="1" ref="L322" ca="1">_xlfn.XLOOKUP(Assignments[[#This Row],[Company ID]], INDIRECT("'"&amp;Assignments[[#This Row],[Coordinator]]&amp;"'!$B:$B"), INDIRECT("'"&amp;Assignments[[#This Row],[Coordinator]]&amp;"'!$L:$L"), "")</f>
        <v>0</v>
      </c>
    </row>
    <row r="323" spans="1:12" ht="30" customHeight="1" x14ac:dyDescent="0.25">
      <c r="A323" t="s">
        <v>1073</v>
      </c>
      <c r="B323" s="2">
        <v>443681</v>
      </c>
      <c r="C323" t="s">
        <v>1225</v>
      </c>
      <c r="D323" s="1" t="s">
        <v>441</v>
      </c>
      <c r="E323" t="b">
        <v>0</v>
      </c>
      <c r="F323" s="5">
        <v>23700</v>
      </c>
      <c r="G323" t="s">
        <v>1226</v>
      </c>
      <c r="H323" t="s">
        <v>1227</v>
      </c>
      <c r="I323" s="1" t="s">
        <v>1228</v>
      </c>
      <c r="J323" s="60" t="str" cm="1">
        <f t="array" aca="1" ref="J323" ca="1">_xlfn.XLOOKUP(Assignments[[#This Row],[Company ID]], INDIRECT("'"&amp;Assignments[[#This Row],[Coordinator]]&amp;"'!$B:$B"), INDIRECT("'"&amp;Assignments[[#This Row],[Coordinator]]&amp;"'!$J:$J"), "")</f>
        <v>Contact delivered the Spend authorization ahead of the deadline, completing the packet. Coverage and W-9 details confirmed current. Cleared for daily operations support.</v>
      </c>
      <c r="K323" s="12" t="str" cm="1">
        <f t="array" aca="1" ref="K323" ca="1">_xlfn.XLOOKUP(Assignments[[#This Row],[Company ID]], INDIRECT("'"&amp;Assignments[[#This Row],[Coordinator]]&amp;"'!$B:$B"), INDIRECT("'"&amp;Assignments[[#This Row],[Coordinator]]&amp;"'!$K:$K"), "")</f>
        <v>Completion</v>
      </c>
      <c r="L323" s="12" t="b" cm="1">
        <f t="array" aca="1" ref="L323" ca="1">_xlfn.XLOOKUP(Assignments[[#This Row],[Company ID]], INDIRECT("'"&amp;Assignments[[#This Row],[Coordinator]]&amp;"'!$B:$B"), INDIRECT("'"&amp;Assignments[[#This Row],[Coordinator]]&amp;"'!$L:$L"), "")</f>
        <v>1</v>
      </c>
    </row>
    <row r="324" spans="1:12" ht="30" customHeight="1" x14ac:dyDescent="0.25">
      <c r="A324" t="s">
        <v>1073</v>
      </c>
      <c r="B324" s="2">
        <v>135253</v>
      </c>
      <c r="C324" t="s">
        <v>1229</v>
      </c>
      <c r="D324" s="1" t="s">
        <v>587</v>
      </c>
      <c r="E324" t="b">
        <v>0</v>
      </c>
      <c r="F324" s="5">
        <v>120300</v>
      </c>
      <c r="G324" t="s">
        <v>1230</v>
      </c>
      <c r="H324" t="s">
        <v>1231</v>
      </c>
      <c r="I324" s="1" t="s">
        <v>1232</v>
      </c>
      <c r="J324" s="60" t="str" cm="1">
        <f t="array" aca="1" ref="J324" ca="1">_xlfn.XLOOKUP(Assignments[[#This Row],[Company ID]], INDIRECT("'"&amp;Assignments[[#This Row],[Coordinator]]&amp;"'!$B:$B"), INDIRECT("'"&amp;Assignments[[#This Row],[Coordinator]]&amp;"'!$J:$J"), "")</f>
        <v>Repeated attempts to reach the contact have gone unanswered. No paperwork received so far. Escalating to their main office line.</v>
      </c>
      <c r="K324" s="12" t="str" cm="1">
        <f t="array" aca="1" ref="K324" ca="1">_xlfn.XLOOKUP(Assignments[[#This Row],[Company ID]], INDIRECT("'"&amp;Assignments[[#This Row],[Coordinator]]&amp;"'!$B:$B"), INDIRECT("'"&amp;Assignments[[#This Row],[Coordinator]]&amp;"'!$K:$K"), "")</f>
        <v>Poor Communication</v>
      </c>
      <c r="L324" s="12" t="b" cm="1">
        <f t="array" aca="1" ref="L324" ca="1">_xlfn.XLOOKUP(Assignments[[#This Row],[Company ID]], INDIRECT("'"&amp;Assignments[[#This Row],[Coordinator]]&amp;"'!$B:$B"), INDIRECT("'"&amp;Assignments[[#This Row],[Coordinator]]&amp;"'!$L:$L"), "")</f>
        <v>0</v>
      </c>
    </row>
    <row r="325" spans="1:12" ht="30" customHeight="1" x14ac:dyDescent="0.25">
      <c r="A325" t="s">
        <v>1073</v>
      </c>
      <c r="B325" s="2">
        <v>441614</v>
      </c>
      <c r="C325" t="s">
        <v>1233</v>
      </c>
      <c r="D325" s="1" t="s">
        <v>603</v>
      </c>
      <c r="E325" t="b">
        <v>0</v>
      </c>
      <c r="F325" s="5">
        <v>4600</v>
      </c>
      <c r="G325" t="s">
        <v>1234</v>
      </c>
      <c r="H325" t="s">
        <v>1235</v>
      </c>
      <c r="I325" s="1" t="s">
        <v>1236</v>
      </c>
      <c r="J325" s="60" t="str" cm="1">
        <f t="array" aca="1" ref="J325" ca="1">_xlfn.XLOOKUP(Assignments[[#This Row],[Company ID]], INDIRECT("'"&amp;Assignments[[#This Row],[Coordinator]]&amp;"'!$B:$B"), INDIRECT("'"&amp;Assignments[[#This Row],[Coordinator]]&amp;"'!$J:$J"), "")</f>
        <v>Contact acknowledged the request but has since stopped responding. No documents in. Trying a different channel and noting for supervisor follow-up.</v>
      </c>
      <c r="K325" s="12" t="str" cm="1">
        <f t="array" aca="1" ref="K325" ca="1">_xlfn.XLOOKUP(Assignments[[#This Row],[Company ID]], INDIRECT("'"&amp;Assignments[[#This Row],[Coordinator]]&amp;"'!$B:$B"), INDIRECT("'"&amp;Assignments[[#This Row],[Coordinator]]&amp;"'!$K:$K"), "")</f>
        <v>Poor Communication</v>
      </c>
      <c r="L325" s="12" t="b" cm="1">
        <f t="array" aca="1" ref="L325" ca="1">_xlfn.XLOOKUP(Assignments[[#This Row],[Company ID]], INDIRECT("'"&amp;Assignments[[#This Row],[Coordinator]]&amp;"'!$B:$B"), INDIRECT("'"&amp;Assignments[[#This Row],[Coordinator]]&amp;"'!$L:$L"), "")</f>
        <v>0</v>
      </c>
    </row>
    <row r="326" spans="1:12" ht="30" customHeight="1" x14ac:dyDescent="0.25">
      <c r="A326" t="s">
        <v>1073</v>
      </c>
      <c r="B326" s="2">
        <v>135811</v>
      </c>
      <c r="C326" t="s">
        <v>1237</v>
      </c>
      <c r="D326" s="1" t="s">
        <v>446</v>
      </c>
      <c r="E326" t="b">
        <v>0</v>
      </c>
      <c r="F326" s="5">
        <v>22500</v>
      </c>
      <c r="G326" t="s">
        <v>1238</v>
      </c>
      <c r="H326" t="s">
        <v>1239</v>
      </c>
      <c r="I326" s="1" t="s">
        <v>1240</v>
      </c>
      <c r="J326" s="60" t="str" cm="1">
        <f t="array" aca="1" ref="J326" ca="1">_xlfn.XLOOKUP(Assignments[[#This Row],[Company ID]], INDIRECT("'"&amp;Assignments[[#This Row],[Coordinator]]&amp;"'!$B:$B"), INDIRECT("'"&amp;Assignments[[#This Row],[Coordinator]]&amp;"'!$J:$J"), "")</f>
        <v>Confirmed all required paperwork on file once the W-9 came through the portal. Insurance limits and tax details verified. Onboarding closed out.</v>
      </c>
      <c r="K326" s="12" t="str" cm="1">
        <f t="array" aca="1" ref="K326" ca="1">_xlfn.XLOOKUP(Assignments[[#This Row],[Company ID]], INDIRECT("'"&amp;Assignments[[#This Row],[Coordinator]]&amp;"'!$B:$B"), INDIRECT("'"&amp;Assignments[[#This Row],[Coordinator]]&amp;"'!$K:$K"), "")</f>
        <v>Completion</v>
      </c>
      <c r="L326" s="12" t="b" cm="1">
        <f t="array" aca="1" ref="L326" ca="1">_xlfn.XLOOKUP(Assignments[[#This Row],[Company ID]], INDIRECT("'"&amp;Assignments[[#This Row],[Coordinator]]&amp;"'!$B:$B"), INDIRECT("'"&amp;Assignments[[#This Row],[Coordinator]]&amp;"'!$L:$L"), "")</f>
        <v>1</v>
      </c>
    </row>
    <row r="327" spans="1:12" ht="30" customHeight="1" x14ac:dyDescent="0.25">
      <c r="A327" t="s">
        <v>1073</v>
      </c>
      <c r="B327" s="2">
        <v>607343</v>
      </c>
      <c r="C327" t="s">
        <v>1241</v>
      </c>
      <c r="D327" s="1" t="s">
        <v>446</v>
      </c>
      <c r="E327" t="b">
        <v>0</v>
      </c>
      <c r="F327" s="5">
        <v>24200</v>
      </c>
      <c r="G327" t="s">
        <v>1242</v>
      </c>
      <c r="H327" t="s">
        <v>1243</v>
      </c>
      <c r="I327" s="1" t="s">
        <v>1244</v>
      </c>
      <c r="J327" s="60" t="str" cm="1">
        <f t="array" aca="1" ref="J327" ca="1">_xlfn.XLOOKUP(Assignments[[#This Row],[Company ID]], INDIRECT("'"&amp;Assignments[[#This Row],[Coordinator]]&amp;"'!$B:$B"), INDIRECT("'"&amp;Assignments[[#This Row],[Coordinator]]&amp;"'!$J:$J"), "")</f>
        <v>Packet complete after the Spend authorization was uploaded, closing the final open item. Documents were cross-checked against contract requirements and approved. Vendor moved to active status.</v>
      </c>
      <c r="K327" s="12" t="str" cm="1">
        <f t="array" aca="1" ref="K327" ca="1">_xlfn.XLOOKUP(Assignments[[#This Row],[Company ID]], INDIRECT("'"&amp;Assignments[[#This Row],[Coordinator]]&amp;"'!$B:$B"), INDIRECT("'"&amp;Assignments[[#This Row],[Coordinator]]&amp;"'!$K:$K"), "")</f>
        <v>Completion</v>
      </c>
      <c r="L327" s="12" t="b" cm="1">
        <f t="array" aca="1" ref="L327" ca="1">_xlfn.XLOOKUP(Assignments[[#This Row],[Company ID]], INDIRECT("'"&amp;Assignments[[#This Row],[Coordinator]]&amp;"'!$B:$B"), INDIRECT("'"&amp;Assignments[[#This Row],[Coordinator]]&amp;"'!$L:$L"), "")</f>
        <v>1</v>
      </c>
    </row>
    <row r="328" spans="1:12" ht="30" customHeight="1" x14ac:dyDescent="0.25">
      <c r="A328" t="s">
        <v>1073</v>
      </c>
      <c r="B328" s="2">
        <v>464545</v>
      </c>
      <c r="C328" t="s">
        <v>1245</v>
      </c>
      <c r="D328" s="1" t="s">
        <v>622</v>
      </c>
      <c r="E328" t="b">
        <v>0</v>
      </c>
      <c r="F328" s="5">
        <v>54200</v>
      </c>
      <c r="G328" t="s">
        <v>226</v>
      </c>
      <c r="H328" t="s">
        <v>1246</v>
      </c>
      <c r="I328" s="1" t="s">
        <v>1247</v>
      </c>
      <c r="J328" s="60" t="str" cm="1">
        <f t="array" aca="1" ref="J328" ca="1">_xlfn.XLOOKUP(Assignments[[#This Row],[Company ID]], INDIRECT("'"&amp;Assignments[[#This Row],[Coordinator]]&amp;"'!$B:$B"), INDIRECT("'"&amp;Assignments[[#This Row],[Coordinator]]&amp;"'!$J:$J"), "")</f>
        <v>First batch received: the COI and the Spend authorization logged and approved. Still awaiting the W-9. Contact committed to finishing by Friday.</v>
      </c>
      <c r="K328" s="12" t="str" cm="1">
        <f t="array" aca="1" ref="K328" ca="1">_xlfn.XLOOKUP(Assignments[[#This Row],[Company ID]], INDIRECT("'"&amp;Assignments[[#This Row],[Coordinator]]&amp;"'!$B:$B"), INDIRECT("'"&amp;Assignments[[#This Row],[Coordinator]]&amp;"'!$K:$K"), "")</f>
        <v>Received</v>
      </c>
      <c r="L328" s="12" t="str" cm="1">
        <f t="array" aca="1" ref="L328" ca="1">_xlfn.XLOOKUP(Assignments[[#This Row],[Company ID]], INDIRECT("'"&amp;Assignments[[#This Row],[Coordinator]]&amp;"'!$B:$B"), INDIRECT("'"&amp;Assignments[[#This Row],[Coordinator]]&amp;"'!$L:$L"), "")</f>
        <v>RECEIVED</v>
      </c>
    </row>
    <row r="329" spans="1:12" ht="30" customHeight="1" x14ac:dyDescent="0.25">
      <c r="A329" t="s">
        <v>1073</v>
      </c>
      <c r="B329" s="2">
        <v>195089</v>
      </c>
      <c r="C329" t="s">
        <v>1248</v>
      </c>
      <c r="D329" s="1" t="s">
        <v>622</v>
      </c>
      <c r="E329" t="b">
        <v>0</v>
      </c>
      <c r="F329" s="5">
        <v>30800</v>
      </c>
      <c r="G329" t="s">
        <v>1249</v>
      </c>
      <c r="H329" t="s">
        <v>1250</v>
      </c>
      <c r="I329" s="1" t="s">
        <v>1251</v>
      </c>
      <c r="J329" s="60" t="str" cm="1">
        <f t="array" aca="1" ref="J329" ca="1">_xlfn.XLOOKUP(Assignments[[#This Row],[Company ID]], INDIRECT("'"&amp;Assignments[[#This Row],[Coordinator]]&amp;"'!$B:$B"), INDIRECT("'"&amp;Assignments[[#This Row],[Coordinator]]&amp;"'!$J:$J"), "")</f>
        <v>Received the COI and the Spend authorization through the portal today; the W-9 still pending. Contact acknowledged the request and is gathering the paperwork. Checking back Wednesday.</v>
      </c>
      <c r="K329" s="12" t="str" cm="1">
        <f t="array" aca="1" ref="K329" ca="1">_xlfn.XLOOKUP(Assignments[[#This Row],[Company ID]], INDIRECT("'"&amp;Assignments[[#This Row],[Coordinator]]&amp;"'!$B:$B"), INDIRECT("'"&amp;Assignments[[#This Row],[Coordinator]]&amp;"'!$K:$K"), "")</f>
        <v>Received</v>
      </c>
      <c r="L329" s="12" t="str" cm="1">
        <f t="array" aca="1" ref="L329" ca="1">_xlfn.XLOOKUP(Assignments[[#This Row],[Company ID]], INDIRECT("'"&amp;Assignments[[#This Row],[Coordinator]]&amp;"'!$B:$B"), INDIRECT("'"&amp;Assignments[[#This Row],[Coordinator]]&amp;"'!$L:$L"), "")</f>
        <v>RECEIVED</v>
      </c>
    </row>
    <row r="330" spans="1:12" ht="30" customHeight="1" x14ac:dyDescent="0.25">
      <c r="A330" t="s">
        <v>1073</v>
      </c>
      <c r="B330" s="2">
        <v>672136</v>
      </c>
      <c r="C330" t="s">
        <v>1252</v>
      </c>
      <c r="D330" s="1" t="s">
        <v>622</v>
      </c>
      <c r="E330" t="b">
        <v>0</v>
      </c>
      <c r="F330" s="5">
        <v>98500</v>
      </c>
      <c r="G330" t="s">
        <v>1253</v>
      </c>
      <c r="H330" t="s">
        <v>1254</v>
      </c>
      <c r="I330" s="1" t="s">
        <v>1255</v>
      </c>
      <c r="J330" s="60" t="str" cm="1">
        <f t="array" aca="1" ref="J330" ca="1">_xlfn.XLOOKUP(Assignments[[#This Row],[Company ID]], INDIRECT("'"&amp;Assignments[[#This Row],[Coordinator]]&amp;"'!$B:$B"), INDIRECT("'"&amp;Assignments[[#This Row],[Coordinator]]&amp;"'!$J:$J"), "")</f>
        <v>Third outreach attempt with no response from the contact. Voicemail left and a follow-up email sent requesting the outstanding documents. Escalating to a backup contact if no reply by Monday.</v>
      </c>
      <c r="K330" s="12" t="str" cm="1">
        <f t="array" aca="1" ref="K330" ca="1">_xlfn.XLOOKUP(Assignments[[#This Row],[Company ID]], INDIRECT("'"&amp;Assignments[[#This Row],[Coordinator]]&amp;"'!$B:$B"), INDIRECT("'"&amp;Assignments[[#This Row],[Coordinator]]&amp;"'!$K:$K"), "")</f>
        <v>Poor Communication</v>
      </c>
      <c r="L330" s="12" t="b" cm="1">
        <f t="array" aca="1" ref="L330" ca="1">_xlfn.XLOOKUP(Assignments[[#This Row],[Company ID]], INDIRECT("'"&amp;Assignments[[#This Row],[Coordinator]]&amp;"'!$B:$B"), INDIRECT("'"&amp;Assignments[[#This Row],[Coordinator]]&amp;"'!$L:$L"), "")</f>
        <v>0</v>
      </c>
    </row>
    <row r="331" spans="1:12" ht="30" customHeight="1" x14ac:dyDescent="0.25">
      <c r="A331" t="s">
        <v>1073</v>
      </c>
      <c r="B331" s="2">
        <v>832245</v>
      </c>
      <c r="C331" t="s">
        <v>1256</v>
      </c>
      <c r="D331" s="1" t="s">
        <v>622</v>
      </c>
      <c r="E331" t="b">
        <v>0</v>
      </c>
      <c r="F331" s="5">
        <v>82200</v>
      </c>
      <c r="G331" t="s">
        <v>1257</v>
      </c>
      <c r="H331" t="s">
        <v>1258</v>
      </c>
      <c r="I331" s="1" t="s">
        <v>1259</v>
      </c>
      <c r="J331" s="60" t="str" cm="1">
        <f t="array" aca="1" ref="J331" ca="1">_xlfn.XLOOKUP(Assignments[[#This Row],[Company ID]], INDIRECT("'"&amp;Assignments[[#This Row],[Coordinator]]&amp;"'!$B:$B"), INDIRECT("'"&amp;Assignments[[#This Row],[Coordinator]]&amp;"'!$J:$J"), "")</f>
        <v>Good progress — the W-9 confirmed and filed. The spend authorization and the coi sits in the vendor's internal approval queue, expected by Friday. No concerns yet.</v>
      </c>
      <c r="K331" s="12" t="str" cm="1">
        <f t="array" aca="1" ref="K331" ca="1">_xlfn.XLOOKUP(Assignments[[#This Row],[Company ID]], INDIRECT("'"&amp;Assignments[[#This Row],[Coordinator]]&amp;"'!$B:$B"), INDIRECT("'"&amp;Assignments[[#This Row],[Coordinator]]&amp;"'!$K:$K"), "")</f>
        <v>Received</v>
      </c>
      <c r="L331" s="12" t="str" cm="1">
        <f t="array" aca="1" ref="L331" ca="1">_xlfn.XLOOKUP(Assignments[[#This Row],[Company ID]], INDIRECT("'"&amp;Assignments[[#This Row],[Coordinator]]&amp;"'!$B:$B"), INDIRECT("'"&amp;Assignments[[#This Row],[Coordinator]]&amp;"'!$L:$L"), "")</f>
        <v>RECEIVED</v>
      </c>
    </row>
    <row r="332" spans="1:12" ht="30" customHeight="1" x14ac:dyDescent="0.25">
      <c r="A332" t="s">
        <v>1073</v>
      </c>
      <c r="B332" s="2">
        <v>227268</v>
      </c>
      <c r="C332" t="s">
        <v>1260</v>
      </c>
      <c r="D332" s="1" t="s">
        <v>622</v>
      </c>
      <c r="E332" t="b">
        <v>0</v>
      </c>
      <c r="F332" s="5">
        <v>79600</v>
      </c>
      <c r="G332" t="s">
        <v>1261</v>
      </c>
      <c r="H332" t="s">
        <v>1262</v>
      </c>
      <c r="I332" s="1" t="s">
        <v>1263</v>
      </c>
      <c r="J332" s="60" t="str" cm="1">
        <f t="array" aca="1" ref="J332" ca="1">_xlfn.XLOOKUP(Assignments[[#This Row],[Company ID]], INDIRECT("'"&amp;Assignments[[#This Row],[Coordinator]]&amp;"'!$B:$B"), INDIRECT("'"&amp;Assignments[[#This Row],[Coordinator]]&amp;"'!$J:$J"), "")</f>
        <v>The spend authorization is delayed due to a legal entity name change working through their system. A short extension was granted and acknowledged. Will re-check status by Thursday.</v>
      </c>
      <c r="K332" s="12" t="str" cm="1">
        <f t="array" aca="1" ref="K332" ca="1">_xlfn.XLOOKUP(Assignments[[#This Row],[Company ID]], INDIRECT("'"&amp;Assignments[[#This Row],[Coordinator]]&amp;"'!$B:$B"), INDIRECT("'"&amp;Assignments[[#This Row],[Coordinator]]&amp;"'!$K:$K"), "")</f>
        <v>Delayed</v>
      </c>
      <c r="L332" s="12" t="b" cm="1">
        <f t="array" aca="1" ref="L332" ca="1">_xlfn.XLOOKUP(Assignments[[#This Row],[Company ID]], INDIRECT("'"&amp;Assignments[[#This Row],[Coordinator]]&amp;"'!$B:$B"), INDIRECT("'"&amp;Assignments[[#This Row],[Coordinator]]&amp;"'!$L:$L"), "")</f>
        <v>0</v>
      </c>
    </row>
    <row r="333" spans="1:12" ht="30" customHeight="1" x14ac:dyDescent="0.25">
      <c r="A333" t="s">
        <v>1073</v>
      </c>
      <c r="B333" s="2">
        <v>863336</v>
      </c>
      <c r="C333" t="s">
        <v>1264</v>
      </c>
      <c r="D333" s="1" t="s">
        <v>230</v>
      </c>
      <c r="E333" t="b">
        <v>0</v>
      </c>
      <c r="F333" s="5">
        <v>33200</v>
      </c>
      <c r="G333" t="s">
        <v>1265</v>
      </c>
      <c r="H333" t="s">
        <v>1266</v>
      </c>
      <c r="I333" s="1" t="s">
        <v>1267</v>
      </c>
      <c r="J333" s="60" t="str" cm="1">
        <f t="array" aca="1" ref="J333" ca="1">_xlfn.XLOOKUP(Assignments[[#This Row],[Company ID]], INDIRECT("'"&amp;Assignments[[#This Row],[Coordinator]]&amp;"'!$B:$B"), INDIRECT("'"&amp;Assignments[[#This Row],[Coordinator]]&amp;"'!$J:$J"), "")</f>
        <v>All three required documents were approved on first pass, the COI included. The Certificate of Insurance names the arena as additional insured, as required. Vendor is good to go.</v>
      </c>
      <c r="K333" s="12" t="str" cm="1">
        <f t="array" aca="1" ref="K333" ca="1">_xlfn.XLOOKUP(Assignments[[#This Row],[Company ID]], INDIRECT("'"&amp;Assignments[[#This Row],[Coordinator]]&amp;"'!$B:$B"), INDIRECT("'"&amp;Assignments[[#This Row],[Coordinator]]&amp;"'!$K:$K"), "")</f>
        <v>Completion</v>
      </c>
      <c r="L333" s="12" t="b" cm="1">
        <f t="array" aca="1" ref="L333" ca="1">_xlfn.XLOOKUP(Assignments[[#This Row],[Company ID]], INDIRECT("'"&amp;Assignments[[#This Row],[Coordinator]]&amp;"'!$B:$B"), INDIRECT("'"&amp;Assignments[[#This Row],[Coordinator]]&amp;"'!$L:$L"), "")</f>
        <v>1</v>
      </c>
    </row>
    <row r="334" spans="1:12" ht="30" customHeight="1" x14ac:dyDescent="0.25">
      <c r="A334" t="s">
        <v>1073</v>
      </c>
      <c r="B334" s="2">
        <v>554103</v>
      </c>
      <c r="C334" t="s">
        <v>1268</v>
      </c>
      <c r="D334" s="1" t="s">
        <v>647</v>
      </c>
      <c r="E334" t="b">
        <v>0</v>
      </c>
      <c r="F334" s="5">
        <v>4300</v>
      </c>
      <c r="G334" t="s">
        <v>1269</v>
      </c>
      <c r="H334" t="s">
        <v>1270</v>
      </c>
      <c r="I334" s="1" t="s">
        <v>1271</v>
      </c>
      <c r="J334" s="60" t="str" cm="1">
        <f t="array" aca="1" ref="J334" ca="1">_xlfn.XLOOKUP(Assignments[[#This Row],[Company ID]], INDIRECT("'"&amp;Assignments[[#This Row],[Coordinator]]&amp;"'!$B:$B"), INDIRECT("'"&amp;Assignments[[#This Row],[Coordinator]]&amp;"'!$J:$J"), "")</f>
        <v>All onboarding documents — COI, W-9, and Spend authorization — are received and verified, with the Spend authorization arriving last. Compliance review passed with no exceptions. Vendor is fully onboarded and cleared for service.</v>
      </c>
      <c r="K334" s="12" t="str" cm="1">
        <f t="array" aca="1" ref="K334" ca="1">_xlfn.XLOOKUP(Assignments[[#This Row],[Company ID]], INDIRECT("'"&amp;Assignments[[#This Row],[Coordinator]]&amp;"'!$B:$B"), INDIRECT("'"&amp;Assignments[[#This Row],[Coordinator]]&amp;"'!$K:$K"), "")</f>
        <v>Completion</v>
      </c>
      <c r="L334" s="12" t="b" cm="1">
        <f t="array" aca="1" ref="L334" ca="1">_xlfn.XLOOKUP(Assignments[[#This Row],[Company ID]], INDIRECT("'"&amp;Assignments[[#This Row],[Coordinator]]&amp;"'!$B:$B"), INDIRECT("'"&amp;Assignments[[#This Row],[Coordinator]]&amp;"'!$L:$L"), "")</f>
        <v>1</v>
      </c>
    </row>
    <row r="335" spans="1:12" ht="30" customHeight="1" x14ac:dyDescent="0.25">
      <c r="A335" t="s">
        <v>1073</v>
      </c>
      <c r="B335" s="2">
        <v>329348</v>
      </c>
      <c r="C335" t="s">
        <v>1272</v>
      </c>
      <c r="D335" s="1" t="s">
        <v>647</v>
      </c>
      <c r="E335" t="b">
        <v>0</v>
      </c>
      <c r="F335" s="5">
        <v>7800</v>
      </c>
      <c r="G335" t="s">
        <v>131</v>
      </c>
      <c r="H335" t="s">
        <v>1273</v>
      </c>
      <c r="I335" s="1" t="s">
        <v>1274</v>
      </c>
      <c r="J335" s="60" t="str" cm="1">
        <f t="array" aca="1" ref="J335" ca="1">_xlfn.XLOOKUP(Assignments[[#This Row],[Company ID]], INDIRECT("'"&amp;Assignments[[#This Row],[Coordinator]]&amp;"'!$B:$B"), INDIRECT("'"&amp;Assignments[[#This Row],[Coordinator]]&amp;"'!$J:$J"), "")</f>
        <v>Communication has stalled — three follow-ups sent with no reply. Nothing submitted to date. Flagging this vendor as at-risk for onboarding.</v>
      </c>
      <c r="K335" s="12" t="str" cm="1">
        <f t="array" aca="1" ref="K335" ca="1">_xlfn.XLOOKUP(Assignments[[#This Row],[Company ID]], INDIRECT("'"&amp;Assignments[[#This Row],[Coordinator]]&amp;"'!$B:$B"), INDIRECT("'"&amp;Assignments[[#This Row],[Coordinator]]&amp;"'!$K:$K"), "")</f>
        <v>Poor Communication</v>
      </c>
      <c r="L335" s="12" t="b" cm="1">
        <f t="array" aca="1" ref="L335" ca="1">_xlfn.XLOOKUP(Assignments[[#This Row],[Company ID]], INDIRECT("'"&amp;Assignments[[#This Row],[Coordinator]]&amp;"'!$B:$B"), INDIRECT("'"&amp;Assignments[[#This Row],[Coordinator]]&amp;"'!$L:$L"), "")</f>
        <v>0</v>
      </c>
    </row>
    <row r="336" spans="1:12" ht="30" customHeight="1" x14ac:dyDescent="0.25">
      <c r="A336" t="s">
        <v>1275</v>
      </c>
      <c r="B336" s="2">
        <v>674775</v>
      </c>
      <c r="C336" t="s">
        <v>1276</v>
      </c>
      <c r="D336" s="1" t="s">
        <v>28</v>
      </c>
      <c r="E336" t="b">
        <v>1</v>
      </c>
      <c r="F336" s="5">
        <v>460900</v>
      </c>
      <c r="G336" t="s">
        <v>1277</v>
      </c>
      <c r="H336" t="s">
        <v>1278</v>
      </c>
      <c r="I336" s="1" t="s">
        <v>1279</v>
      </c>
      <c r="J336" s="60" t="str" cm="1">
        <f t="array" aca="1" ref="J336" ca="1">_xlfn.XLOOKUP(Assignments[[#This Row],[Company ID]], INDIRECT("'"&amp;Assignments[[#This Row],[Coordinator]]&amp;"'!$B:$B"), INDIRECT("'"&amp;Assignments[[#This Row],[Coordinator]]&amp;"'!$J:$J"), "")</f>
        <v>The spend authorization cleared compliance review. The w-9 and the coi was flagged as still needed and re-requested. Contact responsive and engaged.</v>
      </c>
      <c r="K336" s="12" t="str" cm="1">
        <f t="array" aca="1" ref="K336" ca="1">_xlfn.XLOOKUP(Assignments[[#This Row],[Company ID]], INDIRECT("'"&amp;Assignments[[#This Row],[Coordinator]]&amp;"'!$B:$B"), INDIRECT("'"&amp;Assignments[[#This Row],[Coordinator]]&amp;"'!$K:$K"), "")</f>
        <v>Received</v>
      </c>
      <c r="L336" s="12" t="str" cm="1">
        <f t="array" aca="1" ref="L336" ca="1">_xlfn.XLOOKUP(Assignments[[#This Row],[Company ID]], INDIRECT("'"&amp;Assignments[[#This Row],[Coordinator]]&amp;"'!$B:$B"), INDIRECT("'"&amp;Assignments[[#This Row],[Coordinator]]&amp;"'!$L:$L"), "")</f>
        <v>RECEIVED</v>
      </c>
    </row>
    <row r="337" spans="1:12" ht="30" customHeight="1" x14ac:dyDescent="0.25">
      <c r="A337" t="s">
        <v>1275</v>
      </c>
      <c r="B337" s="2">
        <v>672992</v>
      </c>
      <c r="C337" t="s">
        <v>1280</v>
      </c>
      <c r="D337" s="1" t="s">
        <v>28</v>
      </c>
      <c r="E337" t="b">
        <v>1</v>
      </c>
      <c r="F337" s="5">
        <v>452800</v>
      </c>
      <c r="G337" t="s">
        <v>240</v>
      </c>
      <c r="H337" t="s">
        <v>1281</v>
      </c>
      <c r="I337" s="1" t="s">
        <v>1282</v>
      </c>
      <c r="J337" s="60" t="str" cm="1">
        <f t="array" aca="1" ref="J337" ca="1">_xlfn.XLOOKUP(Assignments[[#This Row],[Company ID]], INDIRECT("'"&amp;Assignments[[#This Row],[Coordinator]]&amp;"'!$B:$B"), INDIRECT("'"&amp;Assignments[[#This Row],[Coordinator]]&amp;"'!$J:$J"), "")</f>
        <v>The coi and the w-9 received and verified; the Spend authorization still outstanding. Contact confirmed the remainder will be submitted by Wednesday. Following up then.</v>
      </c>
      <c r="K337" s="12" t="str" cm="1">
        <f t="array" aca="1" ref="K337" ca="1">_xlfn.XLOOKUP(Assignments[[#This Row],[Company ID]], INDIRECT("'"&amp;Assignments[[#This Row],[Coordinator]]&amp;"'!$B:$B"), INDIRECT("'"&amp;Assignments[[#This Row],[Coordinator]]&amp;"'!$K:$K"), "")</f>
        <v>Received</v>
      </c>
      <c r="L337" s="12" t="str" cm="1">
        <f t="array" aca="1" ref="L337" ca="1">_xlfn.XLOOKUP(Assignments[[#This Row],[Company ID]], INDIRECT("'"&amp;Assignments[[#This Row],[Coordinator]]&amp;"'!$B:$B"), INDIRECT("'"&amp;Assignments[[#This Row],[Coordinator]]&amp;"'!$L:$L"), "")</f>
        <v>RECEIVED</v>
      </c>
    </row>
    <row r="338" spans="1:12" ht="30" customHeight="1" x14ac:dyDescent="0.25">
      <c r="A338" t="s">
        <v>1275</v>
      </c>
      <c r="B338" s="2">
        <v>845480</v>
      </c>
      <c r="C338" t="s">
        <v>1283</v>
      </c>
      <c r="D338" s="1" t="s">
        <v>61</v>
      </c>
      <c r="E338" t="b">
        <v>1</v>
      </c>
      <c r="F338" s="5">
        <v>155500</v>
      </c>
      <c r="G338" t="s">
        <v>1284</v>
      </c>
      <c r="H338" t="s">
        <v>1285</v>
      </c>
      <c r="I338" s="1" t="s">
        <v>1286</v>
      </c>
      <c r="J338" s="60" t="str" cm="1">
        <f t="array" aca="1" ref="J338" ca="1">_xlfn.XLOOKUP(Assignments[[#This Row],[Company ID]], INDIRECT("'"&amp;Assignments[[#This Row],[Coordinator]]&amp;"'!$B:$B"), INDIRECT("'"&amp;Assignments[[#This Row],[Coordinator]]&amp;"'!$J:$J"), "")</f>
        <v>Confirmed all required paperwork on file once the W-9 came through the portal. Insurance limits and tax details verified. Onboarding closed out.</v>
      </c>
      <c r="K338" s="12" t="str" cm="1">
        <f t="array" aca="1" ref="K338" ca="1">_xlfn.XLOOKUP(Assignments[[#This Row],[Company ID]], INDIRECT("'"&amp;Assignments[[#This Row],[Coordinator]]&amp;"'!$B:$B"), INDIRECT("'"&amp;Assignments[[#This Row],[Coordinator]]&amp;"'!$K:$K"), "")</f>
        <v>Completion</v>
      </c>
      <c r="L338" s="12" t="b" cm="1">
        <f t="array" aca="1" ref="L338" ca="1">_xlfn.XLOOKUP(Assignments[[#This Row],[Company ID]], INDIRECT("'"&amp;Assignments[[#This Row],[Coordinator]]&amp;"'!$B:$B"), INDIRECT("'"&amp;Assignments[[#This Row],[Coordinator]]&amp;"'!$L:$L"), "")</f>
        <v>1</v>
      </c>
    </row>
    <row r="339" spans="1:12" ht="30" customHeight="1" x14ac:dyDescent="0.25">
      <c r="A339" t="s">
        <v>1275</v>
      </c>
      <c r="B339" s="2">
        <v>546109</v>
      </c>
      <c r="C339" t="s">
        <v>1287</v>
      </c>
      <c r="D339" s="1" t="s">
        <v>118</v>
      </c>
      <c r="E339" t="b">
        <v>1</v>
      </c>
      <c r="F339" s="5">
        <v>430300</v>
      </c>
      <c r="G339" t="s">
        <v>1288</v>
      </c>
      <c r="H339" t="s">
        <v>1289</v>
      </c>
      <c r="I339" s="1" t="s">
        <v>1290</v>
      </c>
      <c r="J339" s="60" t="str" cm="1">
        <f t="array" aca="1" ref="J339" ca="1">_xlfn.XLOOKUP(Assignments[[#This Row],[Company ID]], INDIRECT("'"&amp;Assignments[[#This Row],[Coordinator]]&amp;"'!$B:$B"), INDIRECT("'"&amp;Assignments[[#This Row],[Coordinator]]&amp;"'!$J:$J"), "")</f>
        <v>Good progress — the COI confirmed and filed. The spend authorization and the w-9 sits in the vendor's internal approval queue, expected by Wednesday. No concerns yet.</v>
      </c>
      <c r="K339" s="12" t="str" cm="1">
        <f t="array" aca="1" ref="K339" ca="1">_xlfn.XLOOKUP(Assignments[[#This Row],[Company ID]], INDIRECT("'"&amp;Assignments[[#This Row],[Coordinator]]&amp;"'!$B:$B"), INDIRECT("'"&amp;Assignments[[#This Row],[Coordinator]]&amp;"'!$K:$K"), "")</f>
        <v>Received</v>
      </c>
      <c r="L339" s="12" t="str" cm="1">
        <f t="array" aca="1" ref="L339" ca="1">_xlfn.XLOOKUP(Assignments[[#This Row],[Company ID]], INDIRECT("'"&amp;Assignments[[#This Row],[Coordinator]]&amp;"'!$B:$B"), INDIRECT("'"&amp;Assignments[[#This Row],[Coordinator]]&amp;"'!$L:$L"), "")</f>
        <v>RECEIVED</v>
      </c>
    </row>
    <row r="340" spans="1:12" ht="30" customHeight="1" x14ac:dyDescent="0.25">
      <c r="A340" t="s">
        <v>1275</v>
      </c>
      <c r="B340" s="2">
        <v>542727</v>
      </c>
      <c r="C340" t="s">
        <v>1291</v>
      </c>
      <c r="D340" s="1" t="s">
        <v>143</v>
      </c>
      <c r="E340" t="b">
        <v>1</v>
      </c>
      <c r="F340" s="5">
        <v>297000</v>
      </c>
      <c r="G340" t="s">
        <v>1292</v>
      </c>
      <c r="H340" t="s">
        <v>1293</v>
      </c>
      <c r="I340" s="1" t="s">
        <v>1294</v>
      </c>
      <c r="J340" s="60" t="str" cm="1">
        <f t="array" aca="1" ref="J340" ca="1">_xlfn.XLOOKUP(Assignments[[#This Row],[Company ID]], INDIRECT("'"&amp;Assignments[[#This Row],[Coordinator]]&amp;"'!$B:$B"), INDIRECT("'"&amp;Assignments[[#This Row],[Coordinator]]&amp;"'!$J:$J"), "")</f>
        <v>Received the COI and the W-9 through the portal today; the Spend authorization still pending. Contact acknowledged the request and is gathering the paperwork. Checking back Thursday.</v>
      </c>
      <c r="K340" s="12" t="str" cm="1">
        <f t="array" aca="1" ref="K340" ca="1">_xlfn.XLOOKUP(Assignments[[#This Row],[Company ID]], INDIRECT("'"&amp;Assignments[[#This Row],[Coordinator]]&amp;"'!$B:$B"), INDIRECT("'"&amp;Assignments[[#This Row],[Coordinator]]&amp;"'!$K:$K"), "")</f>
        <v>Received</v>
      </c>
      <c r="L340" s="12" t="str" cm="1">
        <f t="array" aca="1" ref="L340" ca="1">_xlfn.XLOOKUP(Assignments[[#This Row],[Company ID]], INDIRECT("'"&amp;Assignments[[#This Row],[Coordinator]]&amp;"'!$B:$B"), INDIRECT("'"&amp;Assignments[[#This Row],[Coordinator]]&amp;"'!$L:$L"), "")</f>
        <v>RECEIVED</v>
      </c>
    </row>
    <row r="341" spans="1:12" ht="30" customHeight="1" x14ac:dyDescent="0.25">
      <c r="A341" t="s">
        <v>1275</v>
      </c>
      <c r="B341" s="2">
        <v>845414</v>
      </c>
      <c r="C341" t="s">
        <v>1295</v>
      </c>
      <c r="D341" s="1" t="s">
        <v>160</v>
      </c>
      <c r="E341" t="b">
        <v>1</v>
      </c>
      <c r="F341" s="5">
        <v>226800</v>
      </c>
      <c r="G341" t="s">
        <v>1296</v>
      </c>
      <c r="H341" t="s">
        <v>1297</v>
      </c>
      <c r="I341" s="1" t="s">
        <v>1298</v>
      </c>
      <c r="J341" s="60" t="str" cm="1">
        <f t="array" aca="1" ref="J341" ca="1">_xlfn.XLOOKUP(Assignments[[#This Row],[Company ID]], INDIRECT("'"&amp;Assignments[[#This Row],[Coordinator]]&amp;"'!$B:$B"), INDIRECT("'"&amp;Assignments[[#This Row],[Coordinator]]&amp;"'!$J:$J"), "")</f>
        <v>Contact unresponsive to the last several messages, and the voicemail box is full. Requesting an alternate point of contact from the vendor. Noted for escalation.</v>
      </c>
      <c r="K341" s="12" t="str" cm="1">
        <f t="array" aca="1" ref="K341" ca="1">_xlfn.XLOOKUP(Assignments[[#This Row],[Company ID]], INDIRECT("'"&amp;Assignments[[#This Row],[Coordinator]]&amp;"'!$B:$B"), INDIRECT("'"&amp;Assignments[[#This Row],[Coordinator]]&amp;"'!$K:$K"), "")</f>
        <v>Poor Communication</v>
      </c>
      <c r="L341" s="12" t="b" cm="1">
        <f t="array" aca="1" ref="L341" ca="1">_xlfn.XLOOKUP(Assignments[[#This Row],[Company ID]], INDIRECT("'"&amp;Assignments[[#This Row],[Coordinator]]&amp;"'!$B:$B"), INDIRECT("'"&amp;Assignments[[#This Row],[Coordinator]]&amp;"'!$L:$L"), "")</f>
        <v>0</v>
      </c>
    </row>
    <row r="342" spans="1:12" ht="30" customHeight="1" x14ac:dyDescent="0.25">
      <c r="A342" t="s">
        <v>1275</v>
      </c>
      <c r="B342" s="2">
        <v>955797</v>
      </c>
      <c r="C342" t="s">
        <v>1299</v>
      </c>
      <c r="D342" s="1" t="s">
        <v>160</v>
      </c>
      <c r="E342" t="b">
        <v>1</v>
      </c>
      <c r="F342" s="5">
        <v>224700</v>
      </c>
      <c r="G342" t="s">
        <v>1300</v>
      </c>
      <c r="H342" t="s">
        <v>1301</v>
      </c>
      <c r="I342" s="1" t="s">
        <v>1302</v>
      </c>
      <c r="J342" s="60" t="str" cm="1">
        <f t="array" aca="1" ref="J342" ca="1">_xlfn.XLOOKUP(Assignments[[#This Row],[Company ID]], INDIRECT("'"&amp;Assignments[[#This Row],[Coordinator]]&amp;"'!$B:$B"), INDIRECT("'"&amp;Assignments[[#This Row],[Coordinator]]&amp;"'!$J:$J"), "")</f>
        <v>Submission of the Spend authorization stalled because of a pending budget approval on the vendor's end. Contact remains responsive despite the holdup. Re-checking Friday.</v>
      </c>
      <c r="K342" s="12" t="str" cm="1">
        <f t="array" aca="1" ref="K342" ca="1">_xlfn.XLOOKUP(Assignments[[#This Row],[Company ID]], INDIRECT("'"&amp;Assignments[[#This Row],[Coordinator]]&amp;"'!$B:$B"), INDIRECT("'"&amp;Assignments[[#This Row],[Coordinator]]&amp;"'!$K:$K"), "")</f>
        <v>Delayed</v>
      </c>
      <c r="L342" s="12" t="b" cm="1">
        <f t="array" aca="1" ref="L342" ca="1">_xlfn.XLOOKUP(Assignments[[#This Row],[Company ID]], INDIRECT("'"&amp;Assignments[[#This Row],[Coordinator]]&amp;"'!$B:$B"), INDIRECT("'"&amp;Assignments[[#This Row],[Coordinator]]&amp;"'!$L:$L"), "")</f>
        <v>0</v>
      </c>
    </row>
    <row r="343" spans="1:12" ht="30" customHeight="1" x14ac:dyDescent="0.25">
      <c r="A343" t="s">
        <v>1275</v>
      </c>
      <c r="B343" s="2">
        <v>470569</v>
      </c>
      <c r="C343" t="s">
        <v>1303</v>
      </c>
      <c r="D343" s="1" t="s">
        <v>206</v>
      </c>
      <c r="E343" t="b">
        <v>0</v>
      </c>
      <c r="F343" s="5">
        <v>10100</v>
      </c>
      <c r="G343" t="s">
        <v>1249</v>
      </c>
      <c r="H343" t="s">
        <v>1304</v>
      </c>
      <c r="I343" s="1" t="s">
        <v>1305</v>
      </c>
      <c r="J343" s="60" t="str" cm="1">
        <f t="array" aca="1" ref="J343" ca="1">_xlfn.XLOOKUP(Assignments[[#This Row],[Company ID]], INDIRECT("'"&amp;Assignments[[#This Row],[Coordinator]]&amp;"'!$B:$B"), INDIRECT("'"&amp;Assignments[[#This Row],[Coordinator]]&amp;"'!$J:$J"), "")</f>
        <v>Communication has stalled — three follow-ups sent with no reply. Nothing submitted to date. Flagging this vendor as at-risk for onboarding.</v>
      </c>
      <c r="K343" s="12" t="str" cm="1">
        <f t="array" aca="1" ref="K343" ca="1">_xlfn.XLOOKUP(Assignments[[#This Row],[Company ID]], INDIRECT("'"&amp;Assignments[[#This Row],[Coordinator]]&amp;"'!$B:$B"), INDIRECT("'"&amp;Assignments[[#This Row],[Coordinator]]&amp;"'!$K:$K"), "")</f>
        <v>Poor Communication</v>
      </c>
      <c r="L343" s="12" t="b" cm="1">
        <f t="array" aca="1" ref="L343" ca="1">_xlfn.XLOOKUP(Assignments[[#This Row],[Company ID]], INDIRECT("'"&amp;Assignments[[#This Row],[Coordinator]]&amp;"'!$B:$B"), INDIRECT("'"&amp;Assignments[[#This Row],[Coordinator]]&amp;"'!$L:$L"), "")</f>
        <v>0</v>
      </c>
    </row>
    <row r="344" spans="1:12" ht="30" customHeight="1" x14ac:dyDescent="0.25">
      <c r="A344" t="s">
        <v>1275</v>
      </c>
      <c r="B344" s="2">
        <v>534201</v>
      </c>
      <c r="C344" t="s">
        <v>1306</v>
      </c>
      <c r="D344" s="1" t="s">
        <v>206</v>
      </c>
      <c r="E344" t="b">
        <v>0</v>
      </c>
      <c r="F344" s="5">
        <v>225600</v>
      </c>
      <c r="G344" t="s">
        <v>1307</v>
      </c>
      <c r="H344" t="s">
        <v>1308</v>
      </c>
      <c r="I344" s="1" t="s">
        <v>1309</v>
      </c>
      <c r="J344" s="60" t="str" cm="1">
        <f t="array" aca="1" ref="J344" ca="1">_xlfn.XLOOKUP(Assignments[[#This Row],[Company ID]], INDIRECT("'"&amp;Assignments[[#This Row],[Coordinator]]&amp;"'!$B:$B"), INDIRECT("'"&amp;Assignments[[#This Row],[Coordinator]]&amp;"'!$J:$J"), "")</f>
        <v>Documents delayed — a processing backlog cited by their broker. Contact confirmed the item is in progress. Monitoring and following up Friday.</v>
      </c>
      <c r="K344" s="12" t="str" cm="1">
        <f t="array" aca="1" ref="K344" ca="1">_xlfn.XLOOKUP(Assignments[[#This Row],[Company ID]], INDIRECT("'"&amp;Assignments[[#This Row],[Coordinator]]&amp;"'!$B:$B"), INDIRECT("'"&amp;Assignments[[#This Row],[Coordinator]]&amp;"'!$K:$K"), "")</f>
        <v>Delayed</v>
      </c>
      <c r="L344" s="12" t="b" cm="1">
        <f t="array" aca="1" ref="L344" ca="1">_xlfn.XLOOKUP(Assignments[[#This Row],[Company ID]], INDIRECT("'"&amp;Assignments[[#This Row],[Coordinator]]&amp;"'!$B:$B"), INDIRECT("'"&amp;Assignments[[#This Row],[Coordinator]]&amp;"'!$L:$L"), "")</f>
        <v>0</v>
      </c>
    </row>
    <row r="345" spans="1:12" ht="30" customHeight="1" x14ac:dyDescent="0.25">
      <c r="A345" t="s">
        <v>1275</v>
      </c>
      <c r="B345" s="2">
        <v>441880</v>
      </c>
      <c r="C345" t="s">
        <v>1310</v>
      </c>
      <c r="D345" s="1" t="s">
        <v>211</v>
      </c>
      <c r="E345" t="b">
        <v>0</v>
      </c>
      <c r="F345" s="5">
        <v>94600</v>
      </c>
      <c r="G345" t="s">
        <v>1311</v>
      </c>
      <c r="H345" t="s">
        <v>1312</v>
      </c>
      <c r="I345" s="1" t="s">
        <v>1313</v>
      </c>
      <c r="J345" s="60" t="str" cm="1">
        <f t="array" aca="1" ref="J345" ca="1">_xlfn.XLOOKUP(Assignments[[#This Row],[Company ID]], INDIRECT("'"&amp;Assignments[[#This Row],[Coordinator]]&amp;"'!$B:$B"), INDIRECT("'"&amp;Assignments[[#This Row],[Coordinator]]&amp;"'!$J:$J"), "")</f>
        <v>Packet complete after the COI was uploaded, closing the final open item. Documents were cross-checked against contract requirements and approved. Vendor moved to active status.</v>
      </c>
      <c r="K345" s="12" t="str" cm="1">
        <f t="array" aca="1" ref="K345" ca="1">_xlfn.XLOOKUP(Assignments[[#This Row],[Company ID]], INDIRECT("'"&amp;Assignments[[#This Row],[Coordinator]]&amp;"'!$B:$B"), INDIRECT("'"&amp;Assignments[[#This Row],[Coordinator]]&amp;"'!$K:$K"), "")</f>
        <v>Completion</v>
      </c>
      <c r="L345" s="12" t="b" cm="1">
        <f t="array" aca="1" ref="L345" ca="1">_xlfn.XLOOKUP(Assignments[[#This Row],[Company ID]], INDIRECT("'"&amp;Assignments[[#This Row],[Coordinator]]&amp;"'!$B:$B"), INDIRECT("'"&amp;Assignments[[#This Row],[Coordinator]]&amp;"'!$L:$L"), "")</f>
        <v>1</v>
      </c>
    </row>
    <row r="346" spans="1:12" ht="30" customHeight="1" x14ac:dyDescent="0.25">
      <c r="A346" t="s">
        <v>1275</v>
      </c>
      <c r="B346" s="2">
        <v>989056</v>
      </c>
      <c r="C346" t="s">
        <v>1314</v>
      </c>
      <c r="D346" s="1" t="s">
        <v>211</v>
      </c>
      <c r="E346" t="b">
        <v>0</v>
      </c>
      <c r="F346" s="5">
        <v>76200</v>
      </c>
      <c r="G346" t="s">
        <v>1315</v>
      </c>
      <c r="H346" t="s">
        <v>1134</v>
      </c>
      <c r="I346" s="1" t="s">
        <v>1316</v>
      </c>
      <c r="J346" s="60" t="str" cm="1">
        <f t="array" aca="1" ref="J346" ca="1">_xlfn.XLOOKUP(Assignments[[#This Row],[Company ID]], INDIRECT("'"&amp;Assignments[[#This Row],[Coordinator]]&amp;"'!$B:$B"), INDIRECT("'"&amp;Assignments[[#This Row],[Coordinator]]&amp;"'!$J:$J"), "")</f>
        <v>Partial packet in — the W-9 on file and within requirements. Awaiting the COI and the Spend authorization from the vendor's team. Reminder set for Wednesday.</v>
      </c>
      <c r="K346" s="12" t="str" cm="1">
        <f t="array" aca="1" ref="K346" ca="1">_xlfn.XLOOKUP(Assignments[[#This Row],[Company ID]], INDIRECT("'"&amp;Assignments[[#This Row],[Coordinator]]&amp;"'!$B:$B"), INDIRECT("'"&amp;Assignments[[#This Row],[Coordinator]]&amp;"'!$K:$K"), "")</f>
        <v>Received</v>
      </c>
      <c r="L346" s="12" t="str" cm="1">
        <f t="array" aca="1" ref="L346" ca="1">_xlfn.XLOOKUP(Assignments[[#This Row],[Company ID]], INDIRECT("'"&amp;Assignments[[#This Row],[Coordinator]]&amp;"'!$B:$B"), INDIRECT("'"&amp;Assignments[[#This Row],[Coordinator]]&amp;"'!$L:$L"), "")</f>
        <v>RECEIVED</v>
      </c>
    </row>
    <row r="347" spans="1:12" ht="30" customHeight="1" x14ac:dyDescent="0.25">
      <c r="A347" t="s">
        <v>1275</v>
      </c>
      <c r="B347" s="2">
        <v>914295</v>
      </c>
      <c r="C347" t="s">
        <v>1317</v>
      </c>
      <c r="D347" s="1" t="s">
        <v>520</v>
      </c>
      <c r="E347" t="b">
        <v>0</v>
      </c>
      <c r="F347" s="5">
        <v>91600</v>
      </c>
      <c r="G347" t="s">
        <v>1199</v>
      </c>
      <c r="H347" t="s">
        <v>1318</v>
      </c>
      <c r="I347" s="1" t="s">
        <v>1319</v>
      </c>
      <c r="J347" s="60" t="str" cm="1">
        <f t="array" aca="1" ref="J347" ca="1">_xlfn.XLOOKUP(Assignments[[#This Row],[Company ID]], INDIRECT("'"&amp;Assignments[[#This Row],[Coordinator]]&amp;"'!$B:$B"), INDIRECT("'"&amp;Assignments[[#This Row],[Coordinator]]&amp;"'!$J:$J"), "")</f>
        <v>The spend authorization was the last piece and it cleared review this Tuesday. COI, W-9, and Spend authorization are all validated. Vendor activated and notified.</v>
      </c>
      <c r="K347" s="12" t="str" cm="1">
        <f t="array" aca="1" ref="K347" ca="1">_xlfn.XLOOKUP(Assignments[[#This Row],[Company ID]], INDIRECT("'"&amp;Assignments[[#This Row],[Coordinator]]&amp;"'!$B:$B"), INDIRECT("'"&amp;Assignments[[#This Row],[Coordinator]]&amp;"'!$K:$K"), "")</f>
        <v>Completion</v>
      </c>
      <c r="L347" s="12" t="b" cm="1">
        <f t="array" aca="1" ref="L347" ca="1">_xlfn.XLOOKUP(Assignments[[#This Row],[Company ID]], INDIRECT("'"&amp;Assignments[[#This Row],[Coordinator]]&amp;"'!$B:$B"), INDIRECT("'"&amp;Assignments[[#This Row],[Coordinator]]&amp;"'!$L:$L"), "")</f>
        <v>1</v>
      </c>
    </row>
    <row r="348" spans="1:12" ht="30" customHeight="1" x14ac:dyDescent="0.25">
      <c r="A348" t="s">
        <v>1275</v>
      </c>
      <c r="B348" s="2">
        <v>851324</v>
      </c>
      <c r="C348" t="s">
        <v>1320</v>
      </c>
      <c r="D348" s="1" t="s">
        <v>520</v>
      </c>
      <c r="E348" t="b">
        <v>0</v>
      </c>
      <c r="F348" s="5">
        <v>13200</v>
      </c>
      <c r="G348" t="s">
        <v>1321</v>
      </c>
      <c r="H348" t="s">
        <v>1322</v>
      </c>
      <c r="I348" s="1" t="s">
        <v>1323</v>
      </c>
      <c r="J348" s="60" t="str" cm="1">
        <f t="array" aca="1" ref="J348" ca="1">_xlfn.XLOOKUP(Assignments[[#This Row],[Company ID]], INDIRECT("'"&amp;Assignments[[#This Row],[Coordinator]]&amp;"'!$B:$B"), INDIRECT("'"&amp;Assignments[[#This Row],[Coordinator]]&amp;"'!$J:$J"), "")</f>
        <v>Received the COI and the Spend authorization through the portal today; the W-9 still pending. Contact acknowledged the request and is gathering the paperwork. Checking back Friday.</v>
      </c>
      <c r="K348" s="12" t="str" cm="1">
        <f t="array" aca="1" ref="K348" ca="1">_xlfn.XLOOKUP(Assignments[[#This Row],[Company ID]], INDIRECT("'"&amp;Assignments[[#This Row],[Coordinator]]&amp;"'!$B:$B"), INDIRECT("'"&amp;Assignments[[#This Row],[Coordinator]]&amp;"'!$K:$K"), "")</f>
        <v>Received</v>
      </c>
      <c r="L348" s="12" t="str" cm="1">
        <f t="array" aca="1" ref="L348" ca="1">_xlfn.XLOOKUP(Assignments[[#This Row],[Company ID]], INDIRECT("'"&amp;Assignments[[#This Row],[Coordinator]]&amp;"'!$B:$B"), INDIRECT("'"&amp;Assignments[[#This Row],[Coordinator]]&amp;"'!$L:$L"), "")</f>
        <v>RECEIVED</v>
      </c>
    </row>
    <row r="349" spans="1:12" ht="30" customHeight="1" x14ac:dyDescent="0.25">
      <c r="A349" t="s">
        <v>1275</v>
      </c>
      <c r="B349" s="2">
        <v>932328</v>
      </c>
      <c r="C349" t="s">
        <v>1324</v>
      </c>
      <c r="D349" s="1" t="s">
        <v>520</v>
      </c>
      <c r="E349" t="b">
        <v>0</v>
      </c>
      <c r="F349" s="5">
        <v>6600</v>
      </c>
      <c r="G349" t="s">
        <v>1325</v>
      </c>
      <c r="H349" t="s">
        <v>1326</v>
      </c>
      <c r="I349" s="1" t="s">
        <v>1327</v>
      </c>
      <c r="J349" s="60" t="str" cm="1">
        <f t="array" aca="1" ref="J349" ca="1">_xlfn.XLOOKUP(Assignments[[#This Row],[Company ID]], INDIRECT("'"&amp;Assignments[[#This Row],[Coordinator]]&amp;"'!$B:$B"), INDIRECT("'"&amp;Assignments[[#This Row],[Coordinator]]&amp;"'!$J:$J"), "")</f>
        <v>Submission of the Spend authorization stalled because of an internal signature backlog on the vendor's side. Contact remains responsive despite the holdup. Re-checking Tuesday.</v>
      </c>
      <c r="K349" s="12" t="str" cm="1">
        <f t="array" aca="1" ref="K349" ca="1">_xlfn.XLOOKUP(Assignments[[#This Row],[Company ID]], INDIRECT("'"&amp;Assignments[[#This Row],[Coordinator]]&amp;"'!$B:$B"), INDIRECT("'"&amp;Assignments[[#This Row],[Coordinator]]&amp;"'!$K:$K"), "")</f>
        <v>Delayed</v>
      </c>
      <c r="L349" s="12" t="b" cm="1">
        <f t="array" aca="1" ref="L349" ca="1">_xlfn.XLOOKUP(Assignments[[#This Row],[Company ID]], INDIRECT("'"&amp;Assignments[[#This Row],[Coordinator]]&amp;"'!$B:$B"), INDIRECT("'"&amp;Assignments[[#This Row],[Coordinator]]&amp;"'!$L:$L"), "")</f>
        <v>0</v>
      </c>
    </row>
    <row r="350" spans="1:12" ht="30" customHeight="1" x14ac:dyDescent="0.25">
      <c r="A350" t="s">
        <v>1275</v>
      </c>
      <c r="B350" s="2">
        <v>954583</v>
      </c>
      <c r="C350" t="s">
        <v>1328</v>
      </c>
      <c r="D350" s="1" t="s">
        <v>520</v>
      </c>
      <c r="E350" t="b">
        <v>0</v>
      </c>
      <c r="F350" s="5">
        <v>88400</v>
      </c>
      <c r="G350" t="s">
        <v>1329</v>
      </c>
      <c r="H350" t="s">
        <v>1330</v>
      </c>
      <c r="I350" s="1" t="s">
        <v>1331</v>
      </c>
      <c r="J350" s="60" t="str" cm="1">
        <f t="array" aca="1" ref="J350" ca="1">_xlfn.XLOOKUP(Assignments[[#This Row],[Company ID]], INDIRECT("'"&amp;Assignments[[#This Row],[Coordinator]]&amp;"'!$B:$B"), INDIRECT("'"&amp;Assignments[[#This Row],[Coordinator]]&amp;"'!$J:$J"), "")</f>
        <v>Everything is in — the W-9 arrived this Monday and matched our records. Contact was proactive throughout. Onboarding complete.</v>
      </c>
      <c r="K350" s="12" t="str" cm="1">
        <f t="array" aca="1" ref="K350" ca="1">_xlfn.XLOOKUP(Assignments[[#This Row],[Company ID]], INDIRECT("'"&amp;Assignments[[#This Row],[Coordinator]]&amp;"'!$B:$B"), INDIRECT("'"&amp;Assignments[[#This Row],[Coordinator]]&amp;"'!$K:$K"), "")</f>
        <v>Completion</v>
      </c>
      <c r="L350" s="12" t="b" cm="1">
        <f t="array" aca="1" ref="L350" ca="1">_xlfn.XLOOKUP(Assignments[[#This Row],[Company ID]], INDIRECT("'"&amp;Assignments[[#This Row],[Coordinator]]&amp;"'!$B:$B"), INDIRECT("'"&amp;Assignments[[#This Row],[Coordinator]]&amp;"'!$L:$L"), "")</f>
        <v>1</v>
      </c>
    </row>
    <row r="351" spans="1:12" ht="30" customHeight="1" x14ac:dyDescent="0.25">
      <c r="A351" t="s">
        <v>1275</v>
      </c>
      <c r="B351" s="2">
        <v>802964</v>
      </c>
      <c r="C351" t="s">
        <v>1332</v>
      </c>
      <c r="D351" s="1" t="s">
        <v>520</v>
      </c>
      <c r="E351" t="b">
        <v>0</v>
      </c>
      <c r="F351" s="5">
        <v>8000</v>
      </c>
      <c r="G351" t="s">
        <v>1333</v>
      </c>
      <c r="H351" t="s">
        <v>1334</v>
      </c>
      <c r="I351" s="1" t="s">
        <v>1335</v>
      </c>
      <c r="J351" s="60" t="str" cm="1">
        <f t="array" aca="1" ref="J351" ca="1">_xlfn.XLOOKUP(Assignments[[#This Row],[Company ID]], INDIRECT("'"&amp;Assignments[[#This Row],[Coordinator]]&amp;"'!$B:$B"), INDIRECT("'"&amp;Assignments[[#This Row],[Coordinator]]&amp;"'!$J:$J"), "")</f>
        <v>Onboarding finalized after a short verification call this Tuesday. Every document is signed, dated, and on file. Ready for service assignment.</v>
      </c>
      <c r="K351" s="12" t="str" cm="1">
        <f t="array" aca="1" ref="K351" ca="1">_xlfn.XLOOKUP(Assignments[[#This Row],[Company ID]], INDIRECT("'"&amp;Assignments[[#This Row],[Coordinator]]&amp;"'!$B:$B"), INDIRECT("'"&amp;Assignments[[#This Row],[Coordinator]]&amp;"'!$K:$K"), "")</f>
        <v>Completion</v>
      </c>
      <c r="L351" s="12" t="b" cm="1">
        <f t="array" aca="1" ref="L351" ca="1">_xlfn.XLOOKUP(Assignments[[#This Row],[Company ID]], INDIRECT("'"&amp;Assignments[[#This Row],[Coordinator]]&amp;"'!$B:$B"), INDIRECT("'"&amp;Assignments[[#This Row],[Coordinator]]&amp;"'!$L:$L"), "")</f>
        <v>1</v>
      </c>
    </row>
    <row r="352" spans="1:12" ht="30" customHeight="1" x14ac:dyDescent="0.25">
      <c r="A352" t="s">
        <v>1275</v>
      </c>
      <c r="B352" s="2">
        <v>126608</v>
      </c>
      <c r="C352" t="s">
        <v>1336</v>
      </c>
      <c r="D352" s="1" t="s">
        <v>419</v>
      </c>
      <c r="E352" t="b">
        <v>0</v>
      </c>
      <c r="F352" s="5">
        <v>104200</v>
      </c>
      <c r="G352" t="s">
        <v>1337</v>
      </c>
      <c r="H352" t="s">
        <v>1338</v>
      </c>
      <c r="I352" s="1" t="s">
        <v>1339</v>
      </c>
      <c r="J352" s="60" t="str" cm="1">
        <f t="array" aca="1" ref="J352" ca="1">_xlfn.XLOOKUP(Assignments[[#This Row],[Company ID]], INDIRECT("'"&amp;Assignments[[#This Row],[Coordinator]]&amp;"'!$B:$B"), INDIRECT("'"&amp;Assignments[[#This Row],[Coordinator]]&amp;"'!$J:$J"), "")</f>
        <v>The coi received and verified; the W-9 and the Spend authorization still outstanding. Contact confirmed the remainder will be submitted by Friday. Following up then.</v>
      </c>
      <c r="K352" s="12" t="str" cm="1">
        <f t="array" aca="1" ref="K352" ca="1">_xlfn.XLOOKUP(Assignments[[#This Row],[Company ID]], INDIRECT("'"&amp;Assignments[[#This Row],[Coordinator]]&amp;"'!$B:$B"), INDIRECT("'"&amp;Assignments[[#This Row],[Coordinator]]&amp;"'!$K:$K"), "")</f>
        <v>Received</v>
      </c>
      <c r="L352" s="12" t="str" cm="1">
        <f t="array" aca="1" ref="L352" ca="1">_xlfn.XLOOKUP(Assignments[[#This Row],[Company ID]], INDIRECT("'"&amp;Assignments[[#This Row],[Coordinator]]&amp;"'!$B:$B"), INDIRECT("'"&amp;Assignments[[#This Row],[Coordinator]]&amp;"'!$L:$L"), "")</f>
        <v>RECEIVED</v>
      </c>
    </row>
    <row r="353" spans="1:12" ht="30" customHeight="1" x14ac:dyDescent="0.25">
      <c r="A353" t="s">
        <v>1275</v>
      </c>
      <c r="B353" s="2">
        <v>381580</v>
      </c>
      <c r="C353" t="s">
        <v>1340</v>
      </c>
      <c r="D353" s="1" t="s">
        <v>419</v>
      </c>
      <c r="E353" t="b">
        <v>0</v>
      </c>
      <c r="F353" s="5">
        <v>9500</v>
      </c>
      <c r="G353" t="s">
        <v>1341</v>
      </c>
      <c r="H353" t="s">
        <v>898</v>
      </c>
      <c r="I353" s="1" t="s">
        <v>1342</v>
      </c>
      <c r="J353" s="60" t="str" cm="1">
        <f t="array" aca="1" ref="J353" ca="1">_xlfn.XLOOKUP(Assignments[[#This Row],[Company ID]], INDIRECT("'"&amp;Assignments[[#This Row],[Coordinator]]&amp;"'!$B:$B"), INDIRECT("'"&amp;Assignments[[#This Row],[Coordinator]]&amp;"'!$J:$J"), "")</f>
        <v>Onboarding finalized after a short verification call this Friday. Every document is signed, dated, and on file. Ready for service assignment.</v>
      </c>
      <c r="K353" s="12" t="str" cm="1">
        <f t="array" aca="1" ref="K353" ca="1">_xlfn.XLOOKUP(Assignments[[#This Row],[Company ID]], INDIRECT("'"&amp;Assignments[[#This Row],[Coordinator]]&amp;"'!$B:$B"), INDIRECT("'"&amp;Assignments[[#This Row],[Coordinator]]&amp;"'!$K:$K"), "")</f>
        <v>Completion</v>
      </c>
      <c r="L353" s="12" t="b" cm="1">
        <f t="array" aca="1" ref="L353" ca="1">_xlfn.XLOOKUP(Assignments[[#This Row],[Company ID]], INDIRECT("'"&amp;Assignments[[#This Row],[Coordinator]]&amp;"'!$B:$B"), INDIRECT("'"&amp;Assignments[[#This Row],[Coordinator]]&amp;"'!$L:$L"), "")</f>
        <v>1</v>
      </c>
    </row>
    <row r="354" spans="1:12" ht="30" customHeight="1" x14ac:dyDescent="0.25">
      <c r="A354" t="s">
        <v>1275</v>
      </c>
      <c r="B354" s="2">
        <v>333756</v>
      </c>
      <c r="C354" t="s">
        <v>1343</v>
      </c>
      <c r="D354" s="1" t="s">
        <v>419</v>
      </c>
      <c r="E354" t="b">
        <v>0</v>
      </c>
      <c r="F354" s="5">
        <v>109500</v>
      </c>
      <c r="G354" t="s">
        <v>1344</v>
      </c>
      <c r="H354" t="s">
        <v>1345</v>
      </c>
      <c r="I354" s="1" t="s">
        <v>1346</v>
      </c>
      <c r="J354" s="60" t="str" cm="1">
        <f t="array" aca="1" ref="J354" ca="1">_xlfn.XLOOKUP(Assignments[[#This Row],[Company ID]], INDIRECT("'"&amp;Assignments[[#This Row],[Coordinator]]&amp;"'!$B:$B"), INDIRECT("'"&amp;Assignments[[#This Row],[Coordinator]]&amp;"'!$J:$J"), "")</f>
        <v>Communication has stalled — two follow-ups sent with no reply. Nothing submitted to date. Flagging this vendor as at-risk for onboarding.</v>
      </c>
      <c r="K354" s="12" t="str" cm="1">
        <f t="array" aca="1" ref="K354" ca="1">_xlfn.XLOOKUP(Assignments[[#This Row],[Company ID]], INDIRECT("'"&amp;Assignments[[#This Row],[Coordinator]]&amp;"'!$B:$B"), INDIRECT("'"&amp;Assignments[[#This Row],[Coordinator]]&amp;"'!$K:$K"), "")</f>
        <v>Poor Communication</v>
      </c>
      <c r="L354" s="12" t="b" cm="1">
        <f t="array" aca="1" ref="L354" ca="1">_xlfn.XLOOKUP(Assignments[[#This Row],[Company ID]], INDIRECT("'"&amp;Assignments[[#This Row],[Coordinator]]&amp;"'!$B:$B"), INDIRECT("'"&amp;Assignments[[#This Row],[Coordinator]]&amp;"'!$L:$L"), "")</f>
        <v>0</v>
      </c>
    </row>
    <row r="355" spans="1:12" ht="30" customHeight="1" x14ac:dyDescent="0.25">
      <c r="A355" t="s">
        <v>1275</v>
      </c>
      <c r="B355" s="2">
        <v>335431</v>
      </c>
      <c r="C355" t="s">
        <v>1347</v>
      </c>
      <c r="D355" s="1" t="s">
        <v>216</v>
      </c>
      <c r="E355" t="b">
        <v>0</v>
      </c>
      <c r="F355" s="5">
        <v>5400</v>
      </c>
      <c r="G355" t="s">
        <v>1348</v>
      </c>
      <c r="H355" t="s">
        <v>25</v>
      </c>
      <c r="I355" s="1" t="s">
        <v>1349</v>
      </c>
      <c r="J355" s="60" t="str" cm="1">
        <f t="array" aca="1" ref="J355" ca="1">_xlfn.XLOOKUP(Assignments[[#This Row],[Company ID]], INDIRECT("'"&amp;Assignments[[#This Row],[Coordinator]]&amp;"'!$B:$B"), INDIRECT("'"&amp;Assignments[[#This Row],[Coordinator]]&amp;"'!$J:$J"), "")</f>
        <v>All onboarding documents — COI, W-9, and Spend authorization — are received and verified, with the W-9 arriving last. Compliance review passed with no exceptions. Vendor is fully onboarded and cleared for service.</v>
      </c>
      <c r="K355" s="12" t="str" cm="1">
        <f t="array" aca="1" ref="K355" ca="1">_xlfn.XLOOKUP(Assignments[[#This Row],[Company ID]], INDIRECT("'"&amp;Assignments[[#This Row],[Coordinator]]&amp;"'!$B:$B"), INDIRECT("'"&amp;Assignments[[#This Row],[Coordinator]]&amp;"'!$K:$K"), "")</f>
        <v>Completion</v>
      </c>
      <c r="L355" s="12" t="b" cm="1">
        <f t="array" aca="1" ref="L355" ca="1">_xlfn.XLOOKUP(Assignments[[#This Row],[Company ID]], INDIRECT("'"&amp;Assignments[[#This Row],[Coordinator]]&amp;"'!$B:$B"), INDIRECT("'"&amp;Assignments[[#This Row],[Coordinator]]&amp;"'!$L:$L"), "")</f>
        <v>1</v>
      </c>
    </row>
    <row r="356" spans="1:12" ht="30" customHeight="1" x14ac:dyDescent="0.25">
      <c r="A356" t="s">
        <v>1275</v>
      </c>
      <c r="B356" s="2">
        <v>105144</v>
      </c>
      <c r="C356" t="s">
        <v>1350</v>
      </c>
      <c r="D356" s="1" t="s">
        <v>216</v>
      </c>
      <c r="E356" t="b">
        <v>0</v>
      </c>
      <c r="F356" s="5">
        <v>45600</v>
      </c>
      <c r="G356" t="s">
        <v>1351</v>
      </c>
      <c r="H356" t="s">
        <v>1352</v>
      </c>
      <c r="I356" s="1" t="s">
        <v>1353</v>
      </c>
      <c r="J356" s="60" t="str" cm="1">
        <f t="array" aca="1" ref="J356" ca="1">_xlfn.XLOOKUP(Assignments[[#This Row],[Company ID]], INDIRECT("'"&amp;Assignments[[#This Row],[Coordinator]]&amp;"'!$B:$B"), INDIRECT("'"&amp;Assignments[[#This Row],[Coordinator]]&amp;"'!$J:$J"), "")</f>
        <v>All onboarding documents — COI, W-9, and Spend authorization — are received and verified, with the COI arriving last. Compliance review passed with no exceptions. Vendor is fully onboarded and cleared for service.</v>
      </c>
      <c r="K356" s="12" t="str" cm="1">
        <f t="array" aca="1" ref="K356" ca="1">_xlfn.XLOOKUP(Assignments[[#This Row],[Company ID]], INDIRECT("'"&amp;Assignments[[#This Row],[Coordinator]]&amp;"'!$B:$B"), INDIRECT("'"&amp;Assignments[[#This Row],[Coordinator]]&amp;"'!$K:$K"), "")</f>
        <v>Completion</v>
      </c>
      <c r="L356" s="12" t="b" cm="1">
        <f t="array" aca="1" ref="L356" ca="1">_xlfn.XLOOKUP(Assignments[[#This Row],[Company ID]], INDIRECT("'"&amp;Assignments[[#This Row],[Coordinator]]&amp;"'!$B:$B"), INDIRECT("'"&amp;Assignments[[#This Row],[Coordinator]]&amp;"'!$L:$L"), "")</f>
        <v>1</v>
      </c>
    </row>
    <row r="357" spans="1:12" ht="30" customHeight="1" x14ac:dyDescent="0.25">
      <c r="A357" t="s">
        <v>1275</v>
      </c>
      <c r="B357" s="2">
        <v>985499</v>
      </c>
      <c r="C357" t="s">
        <v>1354</v>
      </c>
      <c r="D357" s="1" t="s">
        <v>221</v>
      </c>
      <c r="E357" t="b">
        <v>0</v>
      </c>
      <c r="F357" s="5">
        <v>13800</v>
      </c>
      <c r="G357" t="s">
        <v>1355</v>
      </c>
      <c r="H357" t="s">
        <v>1356</v>
      </c>
      <c r="I357" s="1" t="s">
        <v>1357</v>
      </c>
      <c r="J357" s="60" t="str" cm="1">
        <f t="array" aca="1" ref="J357" ca="1">_xlfn.XLOOKUP(Assignments[[#This Row],[Company ID]], INDIRECT("'"&amp;Assignments[[#This Row],[Coordinator]]&amp;"'!$B:$B"), INDIRECT("'"&amp;Assignments[[#This Row],[Coordinator]]&amp;"'!$J:$J"), "")</f>
        <v>The coi is delayed due to a legal entity name change working through their system. A short extension was granted and acknowledged. Will re-check status by Monday.</v>
      </c>
      <c r="K357" s="12" t="str" cm="1">
        <f t="array" aca="1" ref="K357" ca="1">_xlfn.XLOOKUP(Assignments[[#This Row],[Company ID]], INDIRECT("'"&amp;Assignments[[#This Row],[Coordinator]]&amp;"'!$B:$B"), INDIRECT("'"&amp;Assignments[[#This Row],[Coordinator]]&amp;"'!$K:$K"), "")</f>
        <v>Delayed</v>
      </c>
      <c r="L357" s="12" t="b" cm="1">
        <f t="array" aca="1" ref="L357" ca="1">_xlfn.XLOOKUP(Assignments[[#This Row],[Company ID]], INDIRECT("'"&amp;Assignments[[#This Row],[Coordinator]]&amp;"'!$B:$B"), INDIRECT("'"&amp;Assignments[[#This Row],[Coordinator]]&amp;"'!$L:$L"), "")</f>
        <v>0</v>
      </c>
    </row>
    <row r="358" spans="1:12" ht="30" customHeight="1" x14ac:dyDescent="0.25">
      <c r="A358" t="s">
        <v>1275</v>
      </c>
      <c r="B358" s="2">
        <v>344660</v>
      </c>
      <c r="C358" t="s">
        <v>1358</v>
      </c>
      <c r="D358" s="1" t="s">
        <v>221</v>
      </c>
      <c r="E358" t="b">
        <v>0</v>
      </c>
      <c r="F358" s="5">
        <v>20400</v>
      </c>
      <c r="G358" t="s">
        <v>1359</v>
      </c>
      <c r="H358" t="s">
        <v>1360</v>
      </c>
      <c r="I358" s="1" t="s">
        <v>1361</v>
      </c>
      <c r="J358" s="60" t="str" cm="1">
        <f t="array" aca="1" ref="J358" ca="1">_xlfn.XLOOKUP(Assignments[[#This Row],[Company ID]], INDIRECT("'"&amp;Assignments[[#This Row],[Coordinator]]&amp;"'!$B:$B"), INDIRECT("'"&amp;Assignments[[#This Row],[Coordinator]]&amp;"'!$J:$J"), "")</f>
        <v>The coi received and verified; the W-9 and the Spend authorization still outstanding. Contact confirmed the remainder will be submitted by next week. Following up then.</v>
      </c>
      <c r="K358" s="12" t="str" cm="1">
        <f t="array" aca="1" ref="K358" ca="1">_xlfn.XLOOKUP(Assignments[[#This Row],[Company ID]], INDIRECT("'"&amp;Assignments[[#This Row],[Coordinator]]&amp;"'!$B:$B"), INDIRECT("'"&amp;Assignments[[#This Row],[Coordinator]]&amp;"'!$K:$K"), "")</f>
        <v>Received</v>
      </c>
      <c r="L358" s="12" t="str" cm="1">
        <f t="array" aca="1" ref="L358" ca="1">_xlfn.XLOOKUP(Assignments[[#This Row],[Company ID]], INDIRECT("'"&amp;Assignments[[#This Row],[Coordinator]]&amp;"'!$B:$B"), INDIRECT("'"&amp;Assignments[[#This Row],[Coordinator]]&amp;"'!$L:$L"), "")</f>
        <v>RECEIVED</v>
      </c>
    </row>
    <row r="359" spans="1:12" ht="30" customHeight="1" x14ac:dyDescent="0.25">
      <c r="A359" t="s">
        <v>1275</v>
      </c>
      <c r="B359" s="2">
        <v>571497</v>
      </c>
      <c r="C359" t="s">
        <v>1362</v>
      </c>
      <c r="D359" s="1" t="s">
        <v>432</v>
      </c>
      <c r="E359" t="b">
        <v>0</v>
      </c>
      <c r="F359" s="5">
        <v>79400</v>
      </c>
      <c r="G359" t="s">
        <v>1363</v>
      </c>
      <c r="H359" t="s">
        <v>1364</v>
      </c>
      <c r="I359" s="1" t="s">
        <v>1365</v>
      </c>
      <c r="J359" s="60" t="str" cm="1">
        <f t="array" aca="1" ref="J359" ca="1">_xlfn.XLOOKUP(Assignments[[#This Row],[Company ID]], INDIRECT("'"&amp;Assignments[[#This Row],[Coordinator]]&amp;"'!$B:$B"), INDIRECT("'"&amp;Assignments[[#This Row],[Coordinator]]&amp;"'!$J:$J"), "")</f>
        <v>Contact has gone quiet after an initial acknowledgment; recent emails are unanswered. No documents received yet. Attempting a call and considering escalation.</v>
      </c>
      <c r="K359" s="12" t="str" cm="1">
        <f t="array" aca="1" ref="K359" ca="1">_xlfn.XLOOKUP(Assignments[[#This Row],[Company ID]], INDIRECT("'"&amp;Assignments[[#This Row],[Coordinator]]&amp;"'!$B:$B"), INDIRECT("'"&amp;Assignments[[#This Row],[Coordinator]]&amp;"'!$K:$K"), "")</f>
        <v>Poor Communication</v>
      </c>
      <c r="L359" s="12" t="b" cm="1">
        <f t="array" aca="1" ref="L359" ca="1">_xlfn.XLOOKUP(Assignments[[#This Row],[Company ID]], INDIRECT("'"&amp;Assignments[[#This Row],[Coordinator]]&amp;"'!$B:$B"), INDIRECT("'"&amp;Assignments[[#This Row],[Coordinator]]&amp;"'!$L:$L"), "")</f>
        <v>0</v>
      </c>
    </row>
    <row r="360" spans="1:12" ht="30" customHeight="1" x14ac:dyDescent="0.25">
      <c r="A360" t="s">
        <v>1275</v>
      </c>
      <c r="B360" s="2">
        <v>194020</v>
      </c>
      <c r="C360" t="s">
        <v>1366</v>
      </c>
      <c r="D360" s="1" t="s">
        <v>432</v>
      </c>
      <c r="E360" t="b">
        <v>0</v>
      </c>
      <c r="F360" s="5">
        <v>35600</v>
      </c>
      <c r="G360" t="s">
        <v>1367</v>
      </c>
      <c r="H360" t="s">
        <v>1368</v>
      </c>
      <c r="I360" s="1" t="s">
        <v>1369</v>
      </c>
      <c r="J360" s="60" t="str" cm="1">
        <f t="array" aca="1" ref="J360" ca="1">_xlfn.XLOOKUP(Assignments[[#This Row],[Company ID]], INDIRECT("'"&amp;Assignments[[#This Row],[Coordinator]]&amp;"'!$B:$B"), INDIRECT("'"&amp;Assignments[[#This Row],[Coordinator]]&amp;"'!$J:$J"), "")</f>
        <v>Documents delayed — an internal signature backlog on the vendor's side. Contact confirmed the item is in progress. Monitoring and following up Thursday.</v>
      </c>
      <c r="K360" s="12" t="str" cm="1">
        <f t="array" aca="1" ref="K360" ca="1">_xlfn.XLOOKUP(Assignments[[#This Row],[Company ID]], INDIRECT("'"&amp;Assignments[[#This Row],[Coordinator]]&amp;"'!$B:$B"), INDIRECT("'"&amp;Assignments[[#This Row],[Coordinator]]&amp;"'!$K:$K"), "")</f>
        <v>Delayed</v>
      </c>
      <c r="L360" s="12" t="b" cm="1">
        <f t="array" aca="1" ref="L360" ca="1">_xlfn.XLOOKUP(Assignments[[#This Row],[Company ID]], INDIRECT("'"&amp;Assignments[[#This Row],[Coordinator]]&amp;"'!$B:$B"), INDIRECT("'"&amp;Assignments[[#This Row],[Coordinator]]&amp;"'!$L:$L"), "")</f>
        <v>0</v>
      </c>
    </row>
    <row r="361" spans="1:12" ht="30" customHeight="1" x14ac:dyDescent="0.25">
      <c r="A361" t="s">
        <v>1275</v>
      </c>
      <c r="B361" s="2">
        <v>581104</v>
      </c>
      <c r="C361" t="s">
        <v>1370</v>
      </c>
      <c r="D361" s="1" t="s">
        <v>432</v>
      </c>
      <c r="E361" t="b">
        <v>0</v>
      </c>
      <c r="F361" s="5">
        <v>89500</v>
      </c>
      <c r="G361" t="s">
        <v>1371</v>
      </c>
      <c r="H361" t="s">
        <v>1372</v>
      </c>
      <c r="I361" s="1" t="s">
        <v>1373</v>
      </c>
      <c r="J361" s="60" t="str" cm="1">
        <f t="array" aca="1" ref="J361" ca="1">_xlfn.XLOOKUP(Assignments[[#This Row],[Company ID]], INDIRECT("'"&amp;Assignments[[#This Row],[Coordinator]]&amp;"'!$B:$B"), INDIRECT("'"&amp;Assignments[[#This Row],[Coordinator]]&amp;"'!$J:$J"), "")</f>
        <v>Confirmed all required paperwork on file once the W-9 came through the portal. Insurance limits and tax details verified. Onboarding closed out.</v>
      </c>
      <c r="K361" s="12" t="str" cm="1">
        <f t="array" aca="1" ref="K361" ca="1">_xlfn.XLOOKUP(Assignments[[#This Row],[Company ID]], INDIRECT("'"&amp;Assignments[[#This Row],[Coordinator]]&amp;"'!$B:$B"), INDIRECT("'"&amp;Assignments[[#This Row],[Coordinator]]&amp;"'!$K:$K"), "")</f>
        <v>Completion</v>
      </c>
      <c r="L361" s="12" t="b" cm="1">
        <f t="array" aca="1" ref="L361" ca="1">_xlfn.XLOOKUP(Assignments[[#This Row],[Company ID]], INDIRECT("'"&amp;Assignments[[#This Row],[Coordinator]]&amp;"'!$B:$B"), INDIRECT("'"&amp;Assignments[[#This Row],[Coordinator]]&amp;"'!$L:$L"), "")</f>
        <v>1</v>
      </c>
    </row>
    <row r="362" spans="1:12" ht="30" customHeight="1" x14ac:dyDescent="0.25">
      <c r="A362" t="s">
        <v>1275</v>
      </c>
      <c r="B362" s="2">
        <v>811457</v>
      </c>
      <c r="C362" t="s">
        <v>1374</v>
      </c>
      <c r="D362" s="1" t="s">
        <v>437</v>
      </c>
      <c r="E362" t="b">
        <v>0</v>
      </c>
      <c r="F362" s="5">
        <v>35600</v>
      </c>
      <c r="G362" t="s">
        <v>1375</v>
      </c>
      <c r="H362" t="s">
        <v>1376</v>
      </c>
      <c r="I362" s="1" t="s">
        <v>1377</v>
      </c>
      <c r="J362" s="60" t="str" cm="1">
        <f t="array" aca="1" ref="J362" ca="1">_xlfn.XLOOKUP(Assignments[[#This Row],[Company ID]], INDIRECT("'"&amp;Assignments[[#This Row],[Coordinator]]&amp;"'!$B:$B"), INDIRECT("'"&amp;Assignments[[#This Row],[Coordinator]]&amp;"'!$J:$J"), "")</f>
        <v>The coi held up because of a legal entity name change working through their system. Contact is actively working it and apologized for the lag. New target is next week.</v>
      </c>
      <c r="K362" s="12" t="str" cm="1">
        <f t="array" aca="1" ref="K362" ca="1">_xlfn.XLOOKUP(Assignments[[#This Row],[Company ID]], INDIRECT("'"&amp;Assignments[[#This Row],[Coordinator]]&amp;"'!$B:$B"), INDIRECT("'"&amp;Assignments[[#This Row],[Coordinator]]&amp;"'!$K:$K"), "")</f>
        <v>Delayed</v>
      </c>
      <c r="L362" s="12" t="b" cm="1">
        <f t="array" aca="1" ref="L362" ca="1">_xlfn.XLOOKUP(Assignments[[#This Row],[Company ID]], INDIRECT("'"&amp;Assignments[[#This Row],[Coordinator]]&amp;"'!$B:$B"), INDIRECT("'"&amp;Assignments[[#This Row],[Coordinator]]&amp;"'!$L:$L"), "")</f>
        <v>0</v>
      </c>
    </row>
    <row r="363" spans="1:12" ht="30" customHeight="1" x14ac:dyDescent="0.25">
      <c r="A363" t="s">
        <v>1275</v>
      </c>
      <c r="B363" s="2">
        <v>946104</v>
      </c>
      <c r="C363" t="s">
        <v>1378</v>
      </c>
      <c r="D363" s="1" t="s">
        <v>570</v>
      </c>
      <c r="E363" t="b">
        <v>0</v>
      </c>
      <c r="F363" s="5">
        <v>27600</v>
      </c>
      <c r="G363" t="s">
        <v>1379</v>
      </c>
      <c r="H363" t="s">
        <v>1380</v>
      </c>
      <c r="I363" s="1" t="s">
        <v>1381</v>
      </c>
      <c r="J363" s="60" t="str" cm="1">
        <f t="array" aca="1" ref="J363" ca="1">_xlfn.XLOOKUP(Assignments[[#This Row],[Company ID]], INDIRECT("'"&amp;Assignments[[#This Row],[Coordinator]]&amp;"'!$B:$B"), INDIRECT("'"&amp;Assignments[[#This Row],[Coordinator]]&amp;"'!$J:$J"), "")</f>
        <v>Confirmed all required paperwork on file once the W-9 came through the portal. Insurance limits and tax details verified. Onboarding closed out.</v>
      </c>
      <c r="K363" s="12" t="str" cm="1">
        <f t="array" aca="1" ref="K363" ca="1">_xlfn.XLOOKUP(Assignments[[#This Row],[Company ID]], INDIRECT("'"&amp;Assignments[[#This Row],[Coordinator]]&amp;"'!$B:$B"), INDIRECT("'"&amp;Assignments[[#This Row],[Coordinator]]&amp;"'!$K:$K"), "")</f>
        <v>Completion</v>
      </c>
      <c r="L363" s="12" t="b" cm="1">
        <f t="array" aca="1" ref="L363" ca="1">_xlfn.XLOOKUP(Assignments[[#This Row],[Company ID]], INDIRECT("'"&amp;Assignments[[#This Row],[Coordinator]]&amp;"'!$B:$B"), INDIRECT("'"&amp;Assignments[[#This Row],[Coordinator]]&amp;"'!$L:$L"), "")</f>
        <v>1</v>
      </c>
    </row>
    <row r="364" spans="1:12" ht="30" customHeight="1" x14ac:dyDescent="0.25">
      <c r="A364" t="s">
        <v>1275</v>
      </c>
      <c r="B364" s="2">
        <v>635180</v>
      </c>
      <c r="C364" t="s">
        <v>1382</v>
      </c>
      <c r="D364" s="1" t="s">
        <v>570</v>
      </c>
      <c r="E364" t="b">
        <v>0</v>
      </c>
      <c r="F364" s="5">
        <v>70800</v>
      </c>
      <c r="G364" t="s">
        <v>1383</v>
      </c>
      <c r="H364" t="s">
        <v>1384</v>
      </c>
      <c r="I364" s="1" t="s">
        <v>1385</v>
      </c>
      <c r="J364" s="60" t="str" cm="1">
        <f t="array" aca="1" ref="J364" ca="1">_xlfn.XLOOKUP(Assignments[[#This Row],[Company ID]], INDIRECT("'"&amp;Assignments[[#This Row],[Coordinator]]&amp;"'!$B:$B"), INDIRECT("'"&amp;Assignments[[#This Row],[Coordinator]]&amp;"'!$J:$J"), "")</f>
        <v>Replies are sporadic and often incomplete, slowing everything down. Still awaiting all required documents. Setting a firm deadline in the next message.</v>
      </c>
      <c r="K364" s="12" t="str" cm="1">
        <f t="array" aca="1" ref="K364" ca="1">_xlfn.XLOOKUP(Assignments[[#This Row],[Company ID]], INDIRECT("'"&amp;Assignments[[#This Row],[Coordinator]]&amp;"'!$B:$B"), INDIRECT("'"&amp;Assignments[[#This Row],[Coordinator]]&amp;"'!$K:$K"), "")</f>
        <v>Poor Communication</v>
      </c>
      <c r="L364" s="12" t="b" cm="1">
        <f t="array" aca="1" ref="L364" ca="1">_xlfn.XLOOKUP(Assignments[[#This Row],[Company ID]], INDIRECT("'"&amp;Assignments[[#This Row],[Coordinator]]&amp;"'!$B:$B"), INDIRECT("'"&amp;Assignments[[#This Row],[Coordinator]]&amp;"'!$L:$L"), "")</f>
        <v>0</v>
      </c>
    </row>
    <row r="365" spans="1:12" ht="30" customHeight="1" x14ac:dyDescent="0.25">
      <c r="A365" t="s">
        <v>1275</v>
      </c>
      <c r="B365" s="2">
        <v>424008</v>
      </c>
      <c r="C365" t="s">
        <v>1386</v>
      </c>
      <c r="D365" s="1" t="s">
        <v>441</v>
      </c>
      <c r="E365" t="b">
        <v>0</v>
      </c>
      <c r="F365" s="5">
        <v>11000</v>
      </c>
      <c r="G365" t="s">
        <v>970</v>
      </c>
      <c r="H365" t="s">
        <v>1352</v>
      </c>
      <c r="I365" s="1" t="s">
        <v>1387</v>
      </c>
      <c r="J365" s="60" t="str" cm="1">
        <f t="array" aca="1" ref="J365" ca="1">_xlfn.XLOOKUP(Assignments[[#This Row],[Company ID]], INDIRECT("'"&amp;Assignments[[#This Row],[Coordinator]]&amp;"'!$B:$B"), INDIRECT("'"&amp;Assignments[[#This Row],[Coordinator]]&amp;"'!$J:$J"), "")</f>
        <v>The spend authorization held up because of a pending budget approval on the vendor's end. Contact is actively working it and apologized for the lag. New target is next week.</v>
      </c>
      <c r="K365" s="12" t="str" cm="1">
        <f t="array" aca="1" ref="K365" ca="1">_xlfn.XLOOKUP(Assignments[[#This Row],[Company ID]], INDIRECT("'"&amp;Assignments[[#This Row],[Coordinator]]&amp;"'!$B:$B"), INDIRECT("'"&amp;Assignments[[#This Row],[Coordinator]]&amp;"'!$K:$K"), "")</f>
        <v>Delayed</v>
      </c>
      <c r="L365" s="12" t="b" cm="1">
        <f t="array" aca="1" ref="L365" ca="1">_xlfn.XLOOKUP(Assignments[[#This Row],[Company ID]], INDIRECT("'"&amp;Assignments[[#This Row],[Coordinator]]&amp;"'!$B:$B"), INDIRECT("'"&amp;Assignments[[#This Row],[Coordinator]]&amp;"'!$L:$L"), "")</f>
        <v>0</v>
      </c>
    </row>
    <row r="366" spans="1:12" ht="30" customHeight="1" x14ac:dyDescent="0.25">
      <c r="A366" t="s">
        <v>1275</v>
      </c>
      <c r="B366" s="2">
        <v>291940</v>
      </c>
      <c r="C366" t="s">
        <v>1388</v>
      </c>
      <c r="D366" s="1" t="s">
        <v>441</v>
      </c>
      <c r="E366" t="b">
        <v>0</v>
      </c>
      <c r="F366" s="5">
        <v>8400</v>
      </c>
      <c r="G366" t="s">
        <v>24</v>
      </c>
      <c r="H366" t="s">
        <v>1389</v>
      </c>
      <c r="I366" s="1" t="s">
        <v>1390</v>
      </c>
      <c r="J366" s="60" t="str" cm="1">
        <f t="array" aca="1" ref="J366" ca="1">_xlfn.XLOOKUP(Assignments[[#This Row],[Company ID]], INDIRECT("'"&amp;Assignments[[#This Row],[Coordinator]]&amp;"'!$B:$B"), INDIRECT("'"&amp;Assignments[[#This Row],[Coordinator]]&amp;"'!$J:$J"), "")</f>
        <v>Everything is in — the Spend authorization arrived this Thursday and matched our records. Contact was proactive throughout. Onboarding complete.</v>
      </c>
      <c r="K366" s="12" t="str" cm="1">
        <f t="array" aca="1" ref="K366" ca="1">_xlfn.XLOOKUP(Assignments[[#This Row],[Company ID]], INDIRECT("'"&amp;Assignments[[#This Row],[Coordinator]]&amp;"'!$B:$B"), INDIRECT("'"&amp;Assignments[[#This Row],[Coordinator]]&amp;"'!$K:$K"), "")</f>
        <v>Completion</v>
      </c>
      <c r="L366" s="12" t="b" cm="1">
        <f t="array" aca="1" ref="L366" ca="1">_xlfn.XLOOKUP(Assignments[[#This Row],[Company ID]], INDIRECT("'"&amp;Assignments[[#This Row],[Coordinator]]&amp;"'!$B:$B"), INDIRECT("'"&amp;Assignments[[#This Row],[Coordinator]]&amp;"'!$L:$L"), "")</f>
        <v>1</v>
      </c>
    </row>
    <row r="367" spans="1:12" ht="30" customHeight="1" x14ac:dyDescent="0.25">
      <c r="A367" t="s">
        <v>1275</v>
      </c>
      <c r="B367" s="2">
        <v>281785</v>
      </c>
      <c r="C367" t="s">
        <v>1391</v>
      </c>
      <c r="D367" s="1" t="s">
        <v>441</v>
      </c>
      <c r="E367" t="b">
        <v>0</v>
      </c>
      <c r="F367" s="5">
        <v>17700</v>
      </c>
      <c r="G367" t="s">
        <v>1175</v>
      </c>
      <c r="H367" t="s">
        <v>1392</v>
      </c>
      <c r="I367" s="1" t="s">
        <v>1393</v>
      </c>
      <c r="J367" s="60" t="str" cm="1">
        <f t="array" aca="1" ref="J367" ca="1">_xlfn.XLOOKUP(Assignments[[#This Row],[Company ID]], INDIRECT("'"&amp;Assignments[[#This Row],[Coordinator]]&amp;"'!$B:$B"), INDIRECT("'"&amp;Assignments[[#This Row],[Coordinator]]&amp;"'!$J:$J"), "")</f>
        <v>First batch received: the Spend authorization logged and approved. Still awaiting the COI and the W-9. Contact committed to finishing by Wednesday.</v>
      </c>
      <c r="K367" s="12" t="str" cm="1">
        <f t="array" aca="1" ref="K367" ca="1">_xlfn.XLOOKUP(Assignments[[#This Row],[Company ID]], INDIRECT("'"&amp;Assignments[[#This Row],[Coordinator]]&amp;"'!$B:$B"), INDIRECT("'"&amp;Assignments[[#This Row],[Coordinator]]&amp;"'!$K:$K"), "")</f>
        <v>Received</v>
      </c>
      <c r="L367" s="12" t="str" cm="1">
        <f t="array" aca="1" ref="L367" ca="1">_xlfn.XLOOKUP(Assignments[[#This Row],[Company ID]], INDIRECT("'"&amp;Assignments[[#This Row],[Coordinator]]&amp;"'!$B:$B"), INDIRECT("'"&amp;Assignments[[#This Row],[Coordinator]]&amp;"'!$L:$L"), "")</f>
        <v>RECEIVED</v>
      </c>
    </row>
    <row r="368" spans="1:12" ht="30" customHeight="1" x14ac:dyDescent="0.25">
      <c r="A368" t="s">
        <v>1275</v>
      </c>
      <c r="B368" s="2">
        <v>401644</v>
      </c>
      <c r="C368" t="s">
        <v>1394</v>
      </c>
      <c r="D368" s="1" t="s">
        <v>587</v>
      </c>
      <c r="E368" t="b">
        <v>0</v>
      </c>
      <c r="F368" s="5">
        <v>66600</v>
      </c>
      <c r="G368" t="s">
        <v>1395</v>
      </c>
      <c r="H368" t="s">
        <v>1396</v>
      </c>
      <c r="I368" s="1" t="s">
        <v>1397</v>
      </c>
      <c r="J368" s="60" t="str" cm="1">
        <f t="array" aca="1" ref="J368" ca="1">_xlfn.XLOOKUP(Assignments[[#This Row],[Company ID]], INDIRECT("'"&amp;Assignments[[#This Row],[Coordinator]]&amp;"'!$B:$B"), INDIRECT("'"&amp;Assignments[[#This Row],[Coordinator]]&amp;"'!$J:$J"), "")</f>
        <v>Good progress — the W-9 and the Spend authorization confirmed and filed. The coi sits in the vendor's internal approval queue, expected by Monday. No concerns yet.</v>
      </c>
      <c r="K368" s="12" t="str" cm="1">
        <f t="array" aca="1" ref="K368" ca="1">_xlfn.XLOOKUP(Assignments[[#This Row],[Company ID]], INDIRECT("'"&amp;Assignments[[#This Row],[Coordinator]]&amp;"'!$B:$B"), INDIRECT("'"&amp;Assignments[[#This Row],[Coordinator]]&amp;"'!$K:$K"), "")</f>
        <v>Received</v>
      </c>
      <c r="L368" s="12" t="str" cm="1">
        <f t="array" aca="1" ref="L368" ca="1">_xlfn.XLOOKUP(Assignments[[#This Row],[Company ID]], INDIRECT("'"&amp;Assignments[[#This Row],[Coordinator]]&amp;"'!$B:$B"), INDIRECT("'"&amp;Assignments[[#This Row],[Coordinator]]&amp;"'!$L:$L"), "")</f>
        <v>RECEIVED</v>
      </c>
    </row>
    <row r="369" spans="1:12" ht="30" customHeight="1" x14ac:dyDescent="0.25">
      <c r="A369" t="s">
        <v>1275</v>
      </c>
      <c r="B369" s="2">
        <v>446493</v>
      </c>
      <c r="C369" t="s">
        <v>1398</v>
      </c>
      <c r="D369" s="1" t="s">
        <v>587</v>
      </c>
      <c r="E369" t="b">
        <v>0</v>
      </c>
      <c r="F369" s="5">
        <v>73900</v>
      </c>
      <c r="G369" t="s">
        <v>512</v>
      </c>
      <c r="H369" t="s">
        <v>1002</v>
      </c>
      <c r="I369" s="1" t="s">
        <v>1399</v>
      </c>
      <c r="J369" s="60" t="str" cm="1">
        <f t="array" aca="1" ref="J369" ca="1">_xlfn.XLOOKUP(Assignments[[#This Row],[Company ID]], INDIRECT("'"&amp;Assignments[[#This Row],[Coordinator]]&amp;"'!$B:$B"), INDIRECT("'"&amp;Assignments[[#This Row],[Coordinator]]&amp;"'!$J:$J"), "")</f>
        <v>All onboarding documents — COI, W-9, and Spend authorization — are received and verified, with the W-9 arriving last. Compliance review passed with no exceptions. Vendor is fully onboarded and cleared for service.</v>
      </c>
      <c r="K369" s="12" t="str" cm="1">
        <f t="array" aca="1" ref="K369" ca="1">_xlfn.XLOOKUP(Assignments[[#This Row],[Company ID]], INDIRECT("'"&amp;Assignments[[#This Row],[Coordinator]]&amp;"'!$B:$B"), INDIRECT("'"&amp;Assignments[[#This Row],[Coordinator]]&amp;"'!$K:$K"), "")</f>
        <v>Completion</v>
      </c>
      <c r="L369" s="12" t="b" cm="1">
        <f t="array" aca="1" ref="L369" ca="1">_xlfn.XLOOKUP(Assignments[[#This Row],[Company ID]], INDIRECT("'"&amp;Assignments[[#This Row],[Coordinator]]&amp;"'!$B:$B"), INDIRECT("'"&amp;Assignments[[#This Row],[Coordinator]]&amp;"'!$L:$L"), "")</f>
        <v>1</v>
      </c>
    </row>
    <row r="370" spans="1:12" ht="30" customHeight="1" x14ac:dyDescent="0.25">
      <c r="A370" t="s">
        <v>1275</v>
      </c>
      <c r="B370" s="2">
        <v>626925</v>
      </c>
      <c r="C370" t="s">
        <v>1400</v>
      </c>
      <c r="D370" s="1" t="s">
        <v>603</v>
      </c>
      <c r="E370" t="b">
        <v>0</v>
      </c>
      <c r="F370" s="5">
        <v>38600</v>
      </c>
      <c r="G370" t="s">
        <v>1401</v>
      </c>
      <c r="H370" t="s">
        <v>1402</v>
      </c>
      <c r="I370" s="1" t="s">
        <v>1403</v>
      </c>
      <c r="J370" s="60" t="str" cm="1">
        <f t="array" aca="1" ref="J370" ca="1">_xlfn.XLOOKUP(Assignments[[#This Row],[Company ID]], INDIRECT("'"&amp;Assignments[[#This Row],[Coordinator]]&amp;"'!$B:$B"), INDIRECT("'"&amp;Assignments[[#This Row],[Coordinator]]&amp;"'!$J:$J"), "")</f>
        <v>Submission of the Spend authorization stalled because of an unexpected staffing gap after the contact went on leave. Contact remains responsive despite the holdup. Re-checking Thursday.</v>
      </c>
      <c r="K370" s="12" t="str" cm="1">
        <f t="array" aca="1" ref="K370" ca="1">_xlfn.XLOOKUP(Assignments[[#This Row],[Company ID]], INDIRECT("'"&amp;Assignments[[#This Row],[Coordinator]]&amp;"'!$B:$B"), INDIRECT("'"&amp;Assignments[[#This Row],[Coordinator]]&amp;"'!$K:$K"), "")</f>
        <v>Delayed</v>
      </c>
      <c r="L370" s="12" t="b" cm="1">
        <f t="array" aca="1" ref="L370" ca="1">_xlfn.XLOOKUP(Assignments[[#This Row],[Company ID]], INDIRECT("'"&amp;Assignments[[#This Row],[Coordinator]]&amp;"'!$B:$B"), INDIRECT("'"&amp;Assignments[[#This Row],[Coordinator]]&amp;"'!$L:$L"), "")</f>
        <v>0</v>
      </c>
    </row>
    <row r="371" spans="1:12" ht="30" customHeight="1" x14ac:dyDescent="0.25">
      <c r="A371" t="s">
        <v>1275</v>
      </c>
      <c r="B371" s="2">
        <v>125941</v>
      </c>
      <c r="C371" t="s">
        <v>1404</v>
      </c>
      <c r="D371" s="1" t="s">
        <v>603</v>
      </c>
      <c r="E371" t="b">
        <v>0</v>
      </c>
      <c r="F371" s="5">
        <v>2000</v>
      </c>
      <c r="G371" t="s">
        <v>1405</v>
      </c>
      <c r="H371" s="2" t="s">
        <v>1406</v>
      </c>
      <c r="I371" s="1" t="s">
        <v>1407</v>
      </c>
      <c r="J371" s="60" t="str" cm="1">
        <f t="array" aca="1" ref="J371" ca="1">_xlfn.XLOOKUP(Assignments[[#This Row],[Company ID]], INDIRECT("'"&amp;Assignments[[#This Row],[Coordinator]]&amp;"'!$B:$B"), INDIRECT("'"&amp;Assignments[[#This Row],[Coordinator]]&amp;"'!$J:$J"), "")</f>
        <v>Contact delivered the Spend authorization ahead of the deadline, completing the packet. Coverage and W-9 details confirmed current. Cleared for daily operations support.</v>
      </c>
      <c r="K371" s="12" t="str" cm="1">
        <f t="array" aca="1" ref="K371" ca="1">_xlfn.XLOOKUP(Assignments[[#This Row],[Company ID]], INDIRECT("'"&amp;Assignments[[#This Row],[Coordinator]]&amp;"'!$B:$B"), INDIRECT("'"&amp;Assignments[[#This Row],[Coordinator]]&amp;"'!$K:$K"), "")</f>
        <v>Completion</v>
      </c>
      <c r="L371" s="12" t="b" cm="1">
        <f t="array" aca="1" ref="L371" ca="1">_xlfn.XLOOKUP(Assignments[[#This Row],[Company ID]], INDIRECT("'"&amp;Assignments[[#This Row],[Coordinator]]&amp;"'!$B:$B"), INDIRECT("'"&amp;Assignments[[#This Row],[Coordinator]]&amp;"'!$L:$L"), "")</f>
        <v>1</v>
      </c>
    </row>
    <row r="372" spans="1:12" ht="30" customHeight="1" x14ac:dyDescent="0.25">
      <c r="A372" t="s">
        <v>1275</v>
      </c>
      <c r="B372" s="2">
        <v>972249</v>
      </c>
      <c r="C372" t="s">
        <v>1408</v>
      </c>
      <c r="D372" s="1" t="s">
        <v>603</v>
      </c>
      <c r="E372" t="b">
        <v>0</v>
      </c>
      <c r="F372" s="5">
        <v>71800</v>
      </c>
      <c r="G372" t="s">
        <v>1409</v>
      </c>
      <c r="H372" s="2" t="s">
        <v>1410</v>
      </c>
      <c r="I372" s="1" t="s">
        <v>1411</v>
      </c>
      <c r="J372" s="60" t="str" cm="1">
        <f t="array" aca="1" ref="J372" ca="1">_xlfn.XLOOKUP(Assignments[[#This Row],[Company ID]], INDIRECT("'"&amp;Assignments[[#This Row],[Coordinator]]&amp;"'!$B:$B"), INDIRECT("'"&amp;Assignments[[#This Row],[Coordinator]]&amp;"'!$J:$J"), "")</f>
        <v>Submission of the Spend authorization stalled because of their broker is reissuing the certificate with corrected coverage limits. Contact remains responsive despite the holdup. Re-checking Wednesday.</v>
      </c>
      <c r="K372" s="12" t="str" cm="1">
        <f t="array" aca="1" ref="K372" ca="1">_xlfn.XLOOKUP(Assignments[[#This Row],[Company ID]], INDIRECT("'"&amp;Assignments[[#This Row],[Coordinator]]&amp;"'!$B:$B"), INDIRECT("'"&amp;Assignments[[#This Row],[Coordinator]]&amp;"'!$K:$K"), "")</f>
        <v>Delayed</v>
      </c>
      <c r="L372" s="12" t="b" cm="1">
        <f t="array" aca="1" ref="L372" ca="1">_xlfn.XLOOKUP(Assignments[[#This Row],[Company ID]], INDIRECT("'"&amp;Assignments[[#This Row],[Coordinator]]&amp;"'!$B:$B"), INDIRECT("'"&amp;Assignments[[#This Row],[Coordinator]]&amp;"'!$L:$L"), "")</f>
        <v>0</v>
      </c>
    </row>
    <row r="373" spans="1:12" ht="30" customHeight="1" x14ac:dyDescent="0.25">
      <c r="A373" t="s">
        <v>1275</v>
      </c>
      <c r="B373" s="2">
        <v>644562</v>
      </c>
      <c r="C373" t="s">
        <v>1412</v>
      </c>
      <c r="D373" s="1" t="s">
        <v>603</v>
      </c>
      <c r="E373" t="b">
        <v>0</v>
      </c>
      <c r="F373" s="5">
        <v>36600</v>
      </c>
      <c r="G373" t="s">
        <v>1413</v>
      </c>
      <c r="H373" s="2" t="s">
        <v>1414</v>
      </c>
      <c r="I373" s="1" t="s">
        <v>1415</v>
      </c>
      <c r="J373" s="60" t="str" cm="1">
        <f t="array" aca="1" ref="J373" ca="1">_xlfn.XLOOKUP(Assignments[[#This Row],[Company ID]], INDIRECT("'"&amp;Assignments[[#This Row],[Coordinator]]&amp;"'!$B:$B"), INDIRECT("'"&amp;Assignments[[#This Row],[Coordinator]]&amp;"'!$J:$J"), "")</f>
        <v>Partial packet in — the W-9 on file and within requirements. Awaiting the Spend authorization and the COI from the vendor's team. Reminder set for Wednesday.</v>
      </c>
      <c r="K373" s="12" t="str" cm="1">
        <f t="array" aca="1" ref="K373" ca="1">_xlfn.XLOOKUP(Assignments[[#This Row],[Company ID]], INDIRECT("'"&amp;Assignments[[#This Row],[Coordinator]]&amp;"'!$B:$B"), INDIRECT("'"&amp;Assignments[[#This Row],[Coordinator]]&amp;"'!$K:$K"), "")</f>
        <v>Received</v>
      </c>
      <c r="L373" s="12" t="str" cm="1">
        <f t="array" aca="1" ref="L373" ca="1">_xlfn.XLOOKUP(Assignments[[#This Row],[Company ID]], INDIRECT("'"&amp;Assignments[[#This Row],[Coordinator]]&amp;"'!$B:$B"), INDIRECT("'"&amp;Assignments[[#This Row],[Coordinator]]&amp;"'!$L:$L"), "")</f>
        <v>RECEIVED</v>
      </c>
    </row>
    <row r="374" spans="1:12" ht="30" customHeight="1" x14ac:dyDescent="0.25">
      <c r="A374" t="s">
        <v>1275</v>
      </c>
      <c r="B374" s="2">
        <v>673141</v>
      </c>
      <c r="C374" t="s">
        <v>1416</v>
      </c>
      <c r="D374" s="1" t="s">
        <v>446</v>
      </c>
      <c r="E374" t="b">
        <v>0</v>
      </c>
      <c r="F374" s="5">
        <v>2300</v>
      </c>
      <c r="G374" t="s">
        <v>1417</v>
      </c>
      <c r="H374" s="2" t="s">
        <v>1418</v>
      </c>
      <c r="I374" s="1" t="s">
        <v>1419</v>
      </c>
      <c r="J374" s="60" t="str" cm="1">
        <f t="array" aca="1" ref="J374" ca="1">_xlfn.XLOOKUP(Assignments[[#This Row],[Company ID]], INDIRECT("'"&amp;Assignments[[#This Row],[Coordinator]]&amp;"'!$B:$B"), INDIRECT("'"&amp;Assignments[[#This Row],[Coordinator]]&amp;"'!$J:$J"), "")</f>
        <v>Good progress — the COI confirmed and filed. The w-9 and the spend authorization sits in the vendor's internal approval queue, expected by Friday. No concerns yet.</v>
      </c>
      <c r="K374" s="12" t="str" cm="1">
        <f t="array" aca="1" ref="K374" ca="1">_xlfn.XLOOKUP(Assignments[[#This Row],[Company ID]], INDIRECT("'"&amp;Assignments[[#This Row],[Coordinator]]&amp;"'!$B:$B"), INDIRECT("'"&amp;Assignments[[#This Row],[Coordinator]]&amp;"'!$K:$K"), "")</f>
        <v>Received</v>
      </c>
      <c r="L374" s="12" t="str" cm="1">
        <f t="array" aca="1" ref="L374" ca="1">_xlfn.XLOOKUP(Assignments[[#This Row],[Company ID]], INDIRECT("'"&amp;Assignments[[#This Row],[Coordinator]]&amp;"'!$B:$B"), INDIRECT("'"&amp;Assignments[[#This Row],[Coordinator]]&amp;"'!$L:$L"), "")</f>
        <v>RECEIVED</v>
      </c>
    </row>
    <row r="375" spans="1:12" ht="30" customHeight="1" x14ac:dyDescent="0.25">
      <c r="A375" t="s">
        <v>1275</v>
      </c>
      <c r="B375" s="2">
        <v>823262</v>
      </c>
      <c r="C375" t="s">
        <v>1420</v>
      </c>
      <c r="D375" s="1" t="s">
        <v>446</v>
      </c>
      <c r="E375" t="b">
        <v>0</v>
      </c>
      <c r="F375" s="5">
        <v>14000</v>
      </c>
      <c r="G375" t="s">
        <v>1401</v>
      </c>
      <c r="H375" s="2" t="s">
        <v>1421</v>
      </c>
      <c r="I375" s="1" t="s">
        <v>1422</v>
      </c>
      <c r="J375" s="60" t="str" cm="1">
        <f t="array" aca="1" ref="J375" ca="1">_xlfn.XLOOKUP(Assignments[[#This Row],[Company ID]], INDIRECT("'"&amp;Assignments[[#This Row],[Coordinator]]&amp;"'!$B:$B"), INDIRECT("'"&amp;Assignments[[#This Row],[Coordinator]]&amp;"'!$J:$J"), "")</f>
        <v>First batch received: the COI logged and approved. Still awaiting the Spend authorization and the W-9. Contact committed to finishing by Thursday.</v>
      </c>
      <c r="K375" s="12" t="str" cm="1">
        <f t="array" aca="1" ref="K375" ca="1">_xlfn.XLOOKUP(Assignments[[#This Row],[Company ID]], INDIRECT("'"&amp;Assignments[[#This Row],[Coordinator]]&amp;"'!$B:$B"), INDIRECT("'"&amp;Assignments[[#This Row],[Coordinator]]&amp;"'!$K:$K"), "")</f>
        <v>Received</v>
      </c>
      <c r="L375" s="12" t="str" cm="1">
        <f t="array" aca="1" ref="L375" ca="1">_xlfn.XLOOKUP(Assignments[[#This Row],[Company ID]], INDIRECT("'"&amp;Assignments[[#This Row],[Coordinator]]&amp;"'!$B:$B"), INDIRECT("'"&amp;Assignments[[#This Row],[Coordinator]]&amp;"'!$L:$L"), "")</f>
        <v>RECEIVED</v>
      </c>
    </row>
    <row r="376" spans="1:12" ht="30" customHeight="1" x14ac:dyDescent="0.25">
      <c r="A376" t="s">
        <v>1275</v>
      </c>
      <c r="B376" s="2">
        <v>527821</v>
      </c>
      <c r="C376" t="s">
        <v>1423</v>
      </c>
      <c r="D376" s="1" t="s">
        <v>446</v>
      </c>
      <c r="E376" t="b">
        <v>0</v>
      </c>
      <c r="F376" s="5">
        <v>34300</v>
      </c>
      <c r="G376" t="s">
        <v>1424</v>
      </c>
      <c r="H376" s="2" t="s">
        <v>1425</v>
      </c>
      <c r="I376" s="1" t="s">
        <v>1426</v>
      </c>
      <c r="J376" s="60" t="str" cm="1">
        <f t="array" aca="1" ref="J376" ca="1">_xlfn.XLOOKUP(Assignments[[#This Row],[Company ID]], INDIRECT("'"&amp;Assignments[[#This Row],[Coordinator]]&amp;"'!$B:$B"), INDIRECT("'"&amp;Assignments[[#This Row],[Coordinator]]&amp;"'!$J:$J"), "")</f>
        <v>Third outreach attempt with no response from the contact. Voicemail left and a follow-up email sent requesting the outstanding documents. Escalating to a backup contact if no reply by Friday.</v>
      </c>
      <c r="K376" s="12" t="str" cm="1">
        <f t="array" aca="1" ref="K376" ca="1">_xlfn.XLOOKUP(Assignments[[#This Row],[Company ID]], INDIRECT("'"&amp;Assignments[[#This Row],[Coordinator]]&amp;"'!$B:$B"), INDIRECT("'"&amp;Assignments[[#This Row],[Coordinator]]&amp;"'!$K:$K"), "")</f>
        <v>Poor Communication</v>
      </c>
      <c r="L376" s="12" t="b" cm="1">
        <f t="array" aca="1" ref="L376" ca="1">_xlfn.XLOOKUP(Assignments[[#This Row],[Company ID]], INDIRECT("'"&amp;Assignments[[#This Row],[Coordinator]]&amp;"'!$B:$B"), INDIRECT("'"&amp;Assignments[[#This Row],[Coordinator]]&amp;"'!$L:$L"), "")</f>
        <v>0</v>
      </c>
    </row>
    <row r="377" spans="1:12" ht="30" customHeight="1" x14ac:dyDescent="0.25">
      <c r="A377" t="s">
        <v>1275</v>
      </c>
      <c r="B377" s="2">
        <v>793342</v>
      </c>
      <c r="C377" t="s">
        <v>1427</v>
      </c>
      <c r="D377" s="1" t="s">
        <v>622</v>
      </c>
      <c r="E377" t="b">
        <v>0</v>
      </c>
      <c r="F377" s="5">
        <v>91500</v>
      </c>
      <c r="G377" t="s">
        <v>1428</v>
      </c>
      <c r="H377" s="2" t="s">
        <v>1429</v>
      </c>
      <c r="I377" s="1" t="s">
        <v>1430</v>
      </c>
      <c r="J377" s="60" t="str" cm="1">
        <f t="array" aca="1" ref="J377" ca="1">_xlfn.XLOOKUP(Assignments[[#This Row],[Company ID]], INDIRECT("'"&amp;Assignments[[#This Row],[Coordinator]]&amp;"'!$B:$B"), INDIRECT("'"&amp;Assignments[[#This Row],[Coordinator]]&amp;"'!$J:$J"), "")</f>
        <v>Confirmed all required paperwork on file once the COI came through the portal. Insurance limits and tax details verified. Onboarding closed out.</v>
      </c>
      <c r="K377" s="12" t="str" cm="1">
        <f t="array" aca="1" ref="K377" ca="1">_xlfn.XLOOKUP(Assignments[[#This Row],[Company ID]], INDIRECT("'"&amp;Assignments[[#This Row],[Coordinator]]&amp;"'!$B:$B"), INDIRECT("'"&amp;Assignments[[#This Row],[Coordinator]]&amp;"'!$K:$K"), "")</f>
        <v>Completion</v>
      </c>
      <c r="L377" s="12" t="b" cm="1">
        <f t="array" aca="1" ref="L377" ca="1">_xlfn.XLOOKUP(Assignments[[#This Row],[Company ID]], INDIRECT("'"&amp;Assignments[[#This Row],[Coordinator]]&amp;"'!$B:$B"), INDIRECT("'"&amp;Assignments[[#This Row],[Coordinator]]&amp;"'!$L:$L"), "")</f>
        <v>1</v>
      </c>
    </row>
    <row r="378" spans="1:12" ht="30" customHeight="1" x14ac:dyDescent="0.25">
      <c r="A378" t="s">
        <v>1275</v>
      </c>
      <c r="B378" s="2">
        <v>674421</v>
      </c>
      <c r="C378" t="s">
        <v>1431</v>
      </c>
      <c r="D378" s="1" t="s">
        <v>230</v>
      </c>
      <c r="E378" t="b">
        <v>0</v>
      </c>
      <c r="F378" s="5">
        <v>36700</v>
      </c>
      <c r="G378" t="s">
        <v>1432</v>
      </c>
      <c r="H378" s="2" t="s">
        <v>304</v>
      </c>
      <c r="I378" s="1" t="s">
        <v>1433</v>
      </c>
      <c r="J378" s="60" t="str" cm="1">
        <f t="array" aca="1" ref="J378" ca="1">_xlfn.XLOOKUP(Assignments[[#This Row],[Company ID]], INDIRECT("'"&amp;Assignments[[#This Row],[Coordinator]]&amp;"'!$B:$B"), INDIRECT("'"&amp;Assignments[[#This Row],[Coordinator]]&amp;"'!$J:$J"), "")</f>
        <v>Full document set received and reconciled against the master vendor record; the Spend authorization needed a quick correction, now resolved. No further discrepancies found. Onboarding officially complete.</v>
      </c>
      <c r="K378" s="12" t="str" cm="1">
        <f t="array" aca="1" ref="K378" ca="1">_xlfn.XLOOKUP(Assignments[[#This Row],[Company ID]], INDIRECT("'"&amp;Assignments[[#This Row],[Coordinator]]&amp;"'!$B:$B"), INDIRECT("'"&amp;Assignments[[#This Row],[Coordinator]]&amp;"'!$K:$K"), "")</f>
        <v>Completion</v>
      </c>
      <c r="L378" s="12" t="b" cm="1">
        <f t="array" aca="1" ref="L378" ca="1">_xlfn.XLOOKUP(Assignments[[#This Row],[Company ID]], INDIRECT("'"&amp;Assignments[[#This Row],[Coordinator]]&amp;"'!$B:$B"), INDIRECT("'"&amp;Assignments[[#This Row],[Coordinator]]&amp;"'!$L:$L"), "")</f>
        <v>1</v>
      </c>
    </row>
    <row r="379" spans="1:12" ht="30" customHeight="1" x14ac:dyDescent="0.25">
      <c r="A379" t="s">
        <v>1275</v>
      </c>
      <c r="B379" s="2">
        <v>944285</v>
      </c>
      <c r="C379" t="s">
        <v>1434</v>
      </c>
      <c r="D379" s="1" t="s">
        <v>230</v>
      </c>
      <c r="E379" t="b">
        <v>0</v>
      </c>
      <c r="F379" s="5">
        <v>43600</v>
      </c>
      <c r="G379" t="s">
        <v>1435</v>
      </c>
      <c r="H379" s="2" t="s">
        <v>1436</v>
      </c>
      <c r="I379" s="1" t="s">
        <v>1437</v>
      </c>
      <c r="J379" s="60" t="str" cm="1">
        <f t="array" aca="1" ref="J379" ca="1">_xlfn.XLOOKUP(Assignments[[#This Row],[Company ID]], INDIRECT("'"&amp;Assignments[[#This Row],[Coordinator]]&amp;"'!$B:$B"), INDIRECT("'"&amp;Assignments[[#This Row],[Coordinator]]&amp;"'!$J:$J"), "")</f>
        <v>Contact acknowledged the request but has since stopped responding. No documents in. Trying a different channel and noting for supervisor follow-up.</v>
      </c>
      <c r="K379" s="12" t="str" cm="1">
        <f t="array" aca="1" ref="K379" ca="1">_xlfn.XLOOKUP(Assignments[[#This Row],[Company ID]], INDIRECT("'"&amp;Assignments[[#This Row],[Coordinator]]&amp;"'!$B:$B"), INDIRECT("'"&amp;Assignments[[#This Row],[Coordinator]]&amp;"'!$K:$K"), "")</f>
        <v>Poor Communication</v>
      </c>
      <c r="L379" s="12" t="b" cm="1">
        <f t="array" aca="1" ref="L379" ca="1">_xlfn.XLOOKUP(Assignments[[#This Row],[Company ID]], INDIRECT("'"&amp;Assignments[[#This Row],[Coordinator]]&amp;"'!$B:$B"), INDIRECT("'"&amp;Assignments[[#This Row],[Coordinator]]&amp;"'!$L:$L"), "")</f>
        <v>0</v>
      </c>
    </row>
    <row r="380" spans="1:12" ht="30" customHeight="1" x14ac:dyDescent="0.25">
      <c r="A380" t="s">
        <v>1275</v>
      </c>
      <c r="B380" s="2">
        <v>109727</v>
      </c>
      <c r="C380" t="s">
        <v>1438</v>
      </c>
      <c r="D380" s="1" t="s">
        <v>230</v>
      </c>
      <c r="E380" t="b">
        <v>0</v>
      </c>
      <c r="F380" s="5">
        <v>30300</v>
      </c>
      <c r="G380" t="s">
        <v>1439</v>
      </c>
      <c r="H380" s="2" t="s">
        <v>1440</v>
      </c>
      <c r="I380" s="1" t="s">
        <v>1441</v>
      </c>
      <c r="J380" s="60" t="str" cm="1">
        <f t="array" aca="1" ref="J380" ca="1">_xlfn.XLOOKUP(Assignments[[#This Row],[Company ID]], INDIRECT("'"&amp;Assignments[[#This Row],[Coordinator]]&amp;"'!$B:$B"), INDIRECT("'"&amp;Assignments[[#This Row],[Coordinator]]&amp;"'!$J:$J"), "")</f>
        <v>Contact uploaded the COI; the Spend authorization and the W-9 to follow once signed. Communication has been solid. Next check-in Friday.</v>
      </c>
      <c r="K380" s="12" t="str" cm="1">
        <f t="array" aca="1" ref="K380" ca="1">_xlfn.XLOOKUP(Assignments[[#This Row],[Company ID]], INDIRECT("'"&amp;Assignments[[#This Row],[Coordinator]]&amp;"'!$B:$B"), INDIRECT("'"&amp;Assignments[[#This Row],[Coordinator]]&amp;"'!$K:$K"), "")</f>
        <v>Received</v>
      </c>
      <c r="L380" s="12" t="str" cm="1">
        <f t="array" aca="1" ref="L380" ca="1">_xlfn.XLOOKUP(Assignments[[#This Row],[Company ID]], INDIRECT("'"&amp;Assignments[[#This Row],[Coordinator]]&amp;"'!$B:$B"), INDIRECT("'"&amp;Assignments[[#This Row],[Coordinator]]&amp;"'!$L:$L"), "")</f>
        <v>RECEIVED</v>
      </c>
    </row>
    <row r="381" spans="1:12" ht="30" customHeight="1" x14ac:dyDescent="0.25">
      <c r="A381" t="s">
        <v>1275</v>
      </c>
      <c r="B381" s="2">
        <v>602421</v>
      </c>
      <c r="C381" t="s">
        <v>1442</v>
      </c>
      <c r="D381" s="1" t="s">
        <v>230</v>
      </c>
      <c r="E381" t="b">
        <v>0</v>
      </c>
      <c r="F381" s="5">
        <v>3700</v>
      </c>
      <c r="G381" t="s">
        <v>37</v>
      </c>
      <c r="H381" s="2" t="s">
        <v>1443</v>
      </c>
      <c r="I381" s="1" t="s">
        <v>1444</v>
      </c>
      <c r="J381" s="60" t="str" cm="1">
        <f t="array" aca="1" ref="J381" ca="1">_xlfn.XLOOKUP(Assignments[[#This Row],[Company ID]], INDIRECT("'"&amp;Assignments[[#This Row],[Coordinator]]&amp;"'!$B:$B"), INDIRECT("'"&amp;Assignments[[#This Row],[Coordinator]]&amp;"'!$J:$J"), "")</f>
        <v>The coi pushed back owing to a corporate reorganization reassigning document ownership. The rest of the packet is fine. Expecting resolution by Friday.</v>
      </c>
      <c r="K381" s="12" t="str" cm="1">
        <f t="array" aca="1" ref="K381" ca="1">_xlfn.XLOOKUP(Assignments[[#This Row],[Company ID]], INDIRECT("'"&amp;Assignments[[#This Row],[Coordinator]]&amp;"'!$B:$B"), INDIRECT("'"&amp;Assignments[[#This Row],[Coordinator]]&amp;"'!$K:$K"), "")</f>
        <v>Delayed</v>
      </c>
      <c r="L381" s="12" t="b" cm="1">
        <f t="array" aca="1" ref="L381" ca="1">_xlfn.XLOOKUP(Assignments[[#This Row],[Company ID]], INDIRECT("'"&amp;Assignments[[#This Row],[Coordinator]]&amp;"'!$B:$B"), INDIRECT("'"&amp;Assignments[[#This Row],[Coordinator]]&amp;"'!$L:$L"), "")</f>
        <v>0</v>
      </c>
    </row>
    <row r="382" spans="1:12" ht="30" customHeight="1" x14ac:dyDescent="0.25">
      <c r="A382" t="s">
        <v>1275</v>
      </c>
      <c r="B382" s="2">
        <v>177000</v>
      </c>
      <c r="C382" t="s">
        <v>1445</v>
      </c>
      <c r="D382" s="1" t="s">
        <v>230</v>
      </c>
      <c r="E382" t="b">
        <v>0</v>
      </c>
      <c r="F382" s="5">
        <v>62100</v>
      </c>
      <c r="G382" t="s">
        <v>1446</v>
      </c>
      <c r="H382" s="2" t="s">
        <v>1447</v>
      </c>
      <c r="I382" s="1" t="s">
        <v>1448</v>
      </c>
      <c r="J382" s="60" t="str" cm="1">
        <f t="array" aca="1" ref="J382" ca="1">_xlfn.XLOOKUP(Assignments[[#This Row],[Company ID]], INDIRECT("'"&amp;Assignments[[#This Row],[Coordinator]]&amp;"'!$B:$B"), INDIRECT("'"&amp;Assignments[[#This Row],[Coordinator]]&amp;"'!$J:$J"), "")</f>
        <v>Repeated attempts to reach the contact have gone unanswered. No paperwork received so far. Escalating to their main office line.</v>
      </c>
      <c r="K382" s="12" t="str" cm="1">
        <f t="array" aca="1" ref="K382" ca="1">_xlfn.XLOOKUP(Assignments[[#This Row],[Company ID]], INDIRECT("'"&amp;Assignments[[#This Row],[Coordinator]]&amp;"'!$B:$B"), INDIRECT("'"&amp;Assignments[[#This Row],[Coordinator]]&amp;"'!$K:$K"), "")</f>
        <v>Poor Communication</v>
      </c>
      <c r="L382" s="12" t="b" cm="1">
        <f t="array" aca="1" ref="L382" ca="1">_xlfn.XLOOKUP(Assignments[[#This Row],[Company ID]], INDIRECT("'"&amp;Assignments[[#This Row],[Coordinator]]&amp;"'!$B:$B"), INDIRECT("'"&amp;Assignments[[#This Row],[Coordinator]]&amp;"'!$L:$L"), "")</f>
        <v>0</v>
      </c>
    </row>
    <row r="383" spans="1:12" ht="30" customHeight="1" x14ac:dyDescent="0.25">
      <c r="A383" t="s">
        <v>1275</v>
      </c>
      <c r="B383" s="2">
        <v>812390</v>
      </c>
      <c r="C383" t="s">
        <v>1449</v>
      </c>
      <c r="D383" s="1" t="s">
        <v>647</v>
      </c>
      <c r="E383" t="b">
        <v>0</v>
      </c>
      <c r="F383" s="5">
        <v>39500</v>
      </c>
      <c r="G383" t="s">
        <v>923</v>
      </c>
      <c r="H383" s="2" t="s">
        <v>1450</v>
      </c>
      <c r="I383" s="1" t="s">
        <v>1451</v>
      </c>
      <c r="J383" s="60" t="str" cm="1">
        <f t="array" aca="1" ref="J383" ca="1">_xlfn.XLOOKUP(Assignments[[#This Row],[Company ID]], INDIRECT("'"&amp;Assignments[[#This Row],[Coordinator]]&amp;"'!$B:$B"), INDIRECT("'"&amp;Assignments[[#This Row],[Coordinator]]&amp;"'!$J:$J"), "")</f>
        <v>Received the COI and the Spend authorization through the portal today; the W-9 still pending. Contact acknowledged the request and is gathering the paperwork. Checking back Friday.</v>
      </c>
      <c r="K383" s="12" t="str" cm="1">
        <f t="array" aca="1" ref="K383" ca="1">_xlfn.XLOOKUP(Assignments[[#This Row],[Company ID]], INDIRECT("'"&amp;Assignments[[#This Row],[Coordinator]]&amp;"'!$B:$B"), INDIRECT("'"&amp;Assignments[[#This Row],[Coordinator]]&amp;"'!$K:$K"), "")</f>
        <v>Received</v>
      </c>
      <c r="L383" s="12" t="str" cm="1">
        <f t="array" aca="1" ref="L383" ca="1">_xlfn.XLOOKUP(Assignments[[#This Row],[Company ID]], INDIRECT("'"&amp;Assignments[[#This Row],[Coordinator]]&amp;"'!$B:$B"), INDIRECT("'"&amp;Assignments[[#This Row],[Coordinator]]&amp;"'!$L:$L"), "")</f>
        <v>RECEIVED</v>
      </c>
    </row>
    <row r="384" spans="1:12" ht="30" customHeight="1" x14ac:dyDescent="0.25">
      <c r="A384" t="s">
        <v>1275</v>
      </c>
      <c r="B384" s="2">
        <v>838892</v>
      </c>
      <c r="C384" t="s">
        <v>1452</v>
      </c>
      <c r="D384" s="1" t="s">
        <v>647</v>
      </c>
      <c r="E384" t="b">
        <v>0</v>
      </c>
      <c r="F384" s="5">
        <v>30800</v>
      </c>
      <c r="G384" t="s">
        <v>1453</v>
      </c>
      <c r="H384" s="2" t="s">
        <v>1454</v>
      </c>
      <c r="I384" s="1" t="s">
        <v>1455</v>
      </c>
      <c r="J384" s="60" t="str" cm="1">
        <f t="array" aca="1" ref="J384" ca="1">_xlfn.XLOOKUP(Assignments[[#This Row],[Company ID]], INDIRECT("'"&amp;Assignments[[#This Row],[Coordinator]]&amp;"'!$B:$B"), INDIRECT("'"&amp;Assignments[[#This Row],[Coordinator]]&amp;"'!$J:$J"), "")</f>
        <v>Contact uploaded the COI and the Spend authorization; the W-9 to follow once signed. Communication has been solid. Next check-in next week.</v>
      </c>
      <c r="K384" s="12" t="str" cm="1">
        <f t="array" aca="1" ref="K384" ca="1">_xlfn.XLOOKUP(Assignments[[#This Row],[Company ID]], INDIRECT("'"&amp;Assignments[[#This Row],[Coordinator]]&amp;"'!$B:$B"), INDIRECT("'"&amp;Assignments[[#This Row],[Coordinator]]&amp;"'!$K:$K"), "")</f>
        <v>Received</v>
      </c>
      <c r="L384" s="12" t="str" cm="1">
        <f t="array" aca="1" ref="L384" ca="1">_xlfn.XLOOKUP(Assignments[[#This Row],[Company ID]], INDIRECT("'"&amp;Assignments[[#This Row],[Coordinator]]&amp;"'!$B:$B"), INDIRECT("'"&amp;Assignments[[#This Row],[Coordinator]]&amp;"'!$L:$L"), "")</f>
        <v>RECEIVED</v>
      </c>
    </row>
    <row r="385" spans="1:12" ht="30" customHeight="1" x14ac:dyDescent="0.25">
      <c r="A385" t="s">
        <v>1275</v>
      </c>
      <c r="B385" s="2">
        <v>852151</v>
      </c>
      <c r="C385" t="s">
        <v>1456</v>
      </c>
      <c r="D385" s="1" t="s">
        <v>647</v>
      </c>
      <c r="E385" t="b">
        <v>0</v>
      </c>
      <c r="F385" s="5">
        <v>32000</v>
      </c>
      <c r="G385" t="s">
        <v>1457</v>
      </c>
      <c r="H385" s="2" t="s">
        <v>1458</v>
      </c>
      <c r="I385" s="1" t="s">
        <v>1459</v>
      </c>
      <c r="J385" s="60" t="str" cm="1">
        <f t="array" aca="1" ref="J385" ca="1">_xlfn.XLOOKUP(Assignments[[#This Row],[Company ID]], INDIRECT("'"&amp;Assignments[[#This Row],[Coordinator]]&amp;"'!$B:$B"), INDIRECT("'"&amp;Assignments[[#This Row],[Coordinator]]&amp;"'!$J:$J"), "")</f>
        <v>Contact uploaded the Spend authorization; the W-9 and the COI to follow once signed. Communication has been solid. Next check-in Monday.</v>
      </c>
      <c r="K385" s="12" t="str" cm="1">
        <f t="array" aca="1" ref="K385" ca="1">_xlfn.XLOOKUP(Assignments[[#This Row],[Company ID]], INDIRECT("'"&amp;Assignments[[#This Row],[Coordinator]]&amp;"'!$B:$B"), INDIRECT("'"&amp;Assignments[[#This Row],[Coordinator]]&amp;"'!$K:$K"), "")</f>
        <v>Received</v>
      </c>
      <c r="L385" s="12" t="str" cm="1">
        <f t="array" aca="1" ref="L385" ca="1">_xlfn.XLOOKUP(Assignments[[#This Row],[Company ID]], INDIRECT("'"&amp;Assignments[[#This Row],[Coordinator]]&amp;"'!$B:$B"), INDIRECT("'"&amp;Assignments[[#This Row],[Coordinator]]&amp;"'!$L:$L"), "")</f>
        <v>RECEIVED</v>
      </c>
    </row>
    <row r="386" spans="1:12" ht="30" customHeight="1" x14ac:dyDescent="0.25">
      <c r="A386" t="s">
        <v>1275</v>
      </c>
      <c r="B386" s="2">
        <v>714496</v>
      </c>
      <c r="C386" t="s">
        <v>1460</v>
      </c>
      <c r="D386" s="1" t="s">
        <v>647</v>
      </c>
      <c r="E386" t="b">
        <v>0</v>
      </c>
      <c r="F386" s="5">
        <v>14100</v>
      </c>
      <c r="G386" t="s">
        <v>1461</v>
      </c>
      <c r="H386" s="2" t="s">
        <v>1462</v>
      </c>
      <c r="I386" s="1" t="s">
        <v>1463</v>
      </c>
      <c r="J386" s="60" t="str" cm="1">
        <f t="array" aca="1" ref="J386" ca="1">_xlfn.XLOOKUP(Assignments[[#This Row],[Company ID]], INDIRECT("'"&amp;Assignments[[#This Row],[Coordinator]]&amp;"'!$B:$B"), INDIRECT("'"&amp;Assignments[[#This Row],[Coordinator]]&amp;"'!$J:$J"), "")</f>
        <v>Partial packet in — the W-9 and the Spend authorization on file and within requirements. Awaiting the COI from the vendor's team. Reminder set for Wednesday.</v>
      </c>
      <c r="K386" s="12" t="str" cm="1">
        <f t="array" aca="1" ref="K386" ca="1">_xlfn.XLOOKUP(Assignments[[#This Row],[Company ID]], INDIRECT("'"&amp;Assignments[[#This Row],[Coordinator]]&amp;"'!$B:$B"), INDIRECT("'"&amp;Assignments[[#This Row],[Coordinator]]&amp;"'!$K:$K"), "")</f>
        <v>Received</v>
      </c>
      <c r="L386" s="12" t="str" cm="1">
        <f t="array" aca="1" ref="L386" ca="1">_xlfn.XLOOKUP(Assignments[[#This Row],[Company ID]], INDIRECT("'"&amp;Assignments[[#This Row],[Coordinator]]&amp;"'!$B:$B"), INDIRECT("'"&amp;Assignments[[#This Row],[Coordinator]]&amp;"'!$L:$L"), "")</f>
        <v>RECEIVED</v>
      </c>
    </row>
    <row r="387" spans="1:12" ht="30" customHeight="1" x14ac:dyDescent="0.25">
      <c r="A387" t="s">
        <v>1275</v>
      </c>
      <c r="B387" s="2">
        <v>641959</v>
      </c>
      <c r="C387" t="s">
        <v>1464</v>
      </c>
      <c r="D387" s="1" t="s">
        <v>647</v>
      </c>
      <c r="E387" t="b">
        <v>0</v>
      </c>
      <c r="F387" s="5">
        <v>39100</v>
      </c>
      <c r="G387" t="s">
        <v>1465</v>
      </c>
      <c r="H387" s="2" t="s">
        <v>1466</v>
      </c>
      <c r="I387" s="1" t="s">
        <v>1467</v>
      </c>
      <c r="J387" s="60" t="str" cm="1">
        <f t="array" aca="1" ref="J387" ca="1">_xlfn.XLOOKUP(Assignments[[#This Row],[Company ID]], INDIRECT("'"&amp;Assignments[[#This Row],[Coordinator]]&amp;"'!$B:$B"), INDIRECT("'"&amp;Assignments[[#This Row],[Coordinator]]&amp;"'!$J:$J"), "")</f>
        <v>Contact uploaded the COI and the Spend authorization; the W-9 to follow once signed. Communication has been solid. Next check-in Tuesday.</v>
      </c>
      <c r="K387" s="12" t="str" cm="1">
        <f t="array" aca="1" ref="K387" ca="1">_xlfn.XLOOKUP(Assignments[[#This Row],[Company ID]], INDIRECT("'"&amp;Assignments[[#This Row],[Coordinator]]&amp;"'!$B:$B"), INDIRECT("'"&amp;Assignments[[#This Row],[Coordinator]]&amp;"'!$K:$K"), "")</f>
        <v>Received</v>
      </c>
      <c r="L387" s="12" t="str" cm="1">
        <f t="array" aca="1" ref="L387" ca="1">_xlfn.XLOOKUP(Assignments[[#This Row],[Company ID]], INDIRECT("'"&amp;Assignments[[#This Row],[Coordinator]]&amp;"'!$B:$B"), INDIRECT("'"&amp;Assignments[[#This Row],[Coordinator]]&amp;"'!$L:$L"), "")</f>
        <v>RECEIVED</v>
      </c>
    </row>
  </sheetData>
  <pageMargins left="0.75" right="0.75" top="1" bottom="1" header="0.5" footer="0.5"/>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20A31-489E-4FCF-BCC5-4C4E72FA5B88}">
  <dimension ref="B3:Q15"/>
  <sheetViews>
    <sheetView showGridLines="0" workbookViewId="0">
      <selection activeCell="I25" sqref="I25"/>
    </sheetView>
  </sheetViews>
  <sheetFormatPr defaultRowHeight="15" x14ac:dyDescent="0.25"/>
  <cols>
    <col min="2" max="2" width="17" customWidth="1"/>
    <col min="4" max="4" width="15.140625" customWidth="1"/>
    <col min="5" max="5" width="20.5703125" customWidth="1"/>
    <col min="6" max="6" width="18.85546875" customWidth="1"/>
    <col min="10" max="10" width="26.140625" bestFit="1" customWidth="1"/>
    <col min="11" max="11" width="6.28515625" bestFit="1" customWidth="1"/>
    <col min="12" max="12" width="12" bestFit="1" customWidth="1"/>
    <col min="13" max="13" width="17.5703125" customWidth="1"/>
    <col min="14" max="14" width="26.140625" bestFit="1" customWidth="1"/>
    <col min="15" max="15" width="6.28515625" bestFit="1" customWidth="1"/>
    <col min="16" max="16" width="12.140625" bestFit="1" customWidth="1"/>
    <col min="17" max="17" width="16.42578125" bestFit="1" customWidth="1"/>
  </cols>
  <sheetData>
    <row r="3" spans="2:17" x14ac:dyDescent="0.25">
      <c r="B3" s="6" t="s">
        <v>0</v>
      </c>
      <c r="C3" s="6" t="s">
        <v>1474</v>
      </c>
      <c r="D3" s="7" t="s">
        <v>1475</v>
      </c>
      <c r="E3" s="7" t="s">
        <v>1476</v>
      </c>
      <c r="F3" s="6" t="s">
        <v>5</v>
      </c>
      <c r="J3" s="18" t="s">
        <v>3</v>
      </c>
      <c r="K3" s="18" t="s">
        <v>1485</v>
      </c>
      <c r="L3" s="18" t="s">
        <v>1486</v>
      </c>
      <c r="M3" s="18" t="s">
        <v>1487</v>
      </c>
      <c r="N3" s="18" t="s">
        <v>3</v>
      </c>
      <c r="O3" s="19" t="s">
        <v>1485</v>
      </c>
      <c r="P3" s="19" t="s">
        <v>1486</v>
      </c>
      <c r="Q3" s="19" t="s">
        <v>1487</v>
      </c>
    </row>
    <row r="4" spans="2:17" x14ac:dyDescent="0.25">
      <c r="B4" t="s">
        <v>9</v>
      </c>
      <c r="C4" s="2">
        <v>53</v>
      </c>
      <c r="D4" s="2">
        <v>47</v>
      </c>
      <c r="E4" s="2">
        <v>6</v>
      </c>
      <c r="F4" s="5">
        <v>10558000</v>
      </c>
      <c r="J4" t="s">
        <v>211</v>
      </c>
      <c r="K4" s="2">
        <v>28</v>
      </c>
      <c r="L4" s="2">
        <v>0</v>
      </c>
      <c r="M4" s="2">
        <v>28</v>
      </c>
      <c r="N4" t="s">
        <v>446</v>
      </c>
      <c r="O4" s="2">
        <v>15</v>
      </c>
      <c r="P4" s="2">
        <v>0</v>
      </c>
      <c r="Q4" s="2">
        <v>15</v>
      </c>
    </row>
    <row r="5" spans="2:17" x14ac:dyDescent="0.25">
      <c r="B5" t="s">
        <v>234</v>
      </c>
      <c r="C5" s="2">
        <v>53</v>
      </c>
      <c r="D5" s="2">
        <v>46</v>
      </c>
      <c r="E5" s="2">
        <v>7</v>
      </c>
      <c r="F5" s="5">
        <v>9163800</v>
      </c>
      <c r="J5" t="s">
        <v>28</v>
      </c>
      <c r="K5" s="2">
        <v>24</v>
      </c>
      <c r="L5" s="2">
        <v>24</v>
      </c>
      <c r="M5" s="2">
        <v>0</v>
      </c>
      <c r="N5" t="s">
        <v>143</v>
      </c>
      <c r="O5" s="2">
        <v>14</v>
      </c>
      <c r="P5" s="2">
        <v>14</v>
      </c>
      <c r="Q5" s="2">
        <v>0</v>
      </c>
    </row>
    <row r="6" spans="2:17" x14ac:dyDescent="0.25">
      <c r="B6" t="s">
        <v>449</v>
      </c>
      <c r="C6" s="2">
        <v>53</v>
      </c>
      <c r="D6" s="2">
        <v>8</v>
      </c>
      <c r="E6" s="2">
        <v>45</v>
      </c>
      <c r="F6" s="5">
        <v>3781300</v>
      </c>
      <c r="J6" t="s">
        <v>118</v>
      </c>
      <c r="K6" s="2">
        <v>19</v>
      </c>
      <c r="L6" s="2">
        <v>19</v>
      </c>
      <c r="M6" s="2">
        <v>0</v>
      </c>
      <c r="N6" t="s">
        <v>419</v>
      </c>
      <c r="O6" s="2">
        <v>14</v>
      </c>
      <c r="P6" s="2">
        <v>0</v>
      </c>
      <c r="Q6" s="2">
        <v>14</v>
      </c>
    </row>
    <row r="7" spans="2:17" x14ac:dyDescent="0.25">
      <c r="B7" t="s">
        <v>659</v>
      </c>
      <c r="C7" s="2">
        <v>53</v>
      </c>
      <c r="D7" s="2">
        <v>7</v>
      </c>
      <c r="E7" s="2">
        <v>46</v>
      </c>
      <c r="F7" s="5">
        <v>3957700</v>
      </c>
      <c r="J7" t="s">
        <v>160</v>
      </c>
      <c r="K7" s="2">
        <v>19</v>
      </c>
      <c r="L7" s="2">
        <v>19</v>
      </c>
      <c r="M7" s="2">
        <v>0</v>
      </c>
      <c r="N7" t="s">
        <v>432</v>
      </c>
      <c r="O7" s="2">
        <v>14</v>
      </c>
      <c r="P7" s="2">
        <v>0</v>
      </c>
      <c r="Q7" s="2">
        <v>14</v>
      </c>
    </row>
    <row r="8" spans="2:17" x14ac:dyDescent="0.25">
      <c r="B8" t="s">
        <v>867</v>
      </c>
      <c r="C8" s="2">
        <v>53</v>
      </c>
      <c r="D8" s="2">
        <v>7</v>
      </c>
      <c r="E8" s="2">
        <v>46</v>
      </c>
      <c r="F8" s="5">
        <v>3703400</v>
      </c>
      <c r="J8" t="s">
        <v>216</v>
      </c>
      <c r="K8" s="2">
        <v>19</v>
      </c>
      <c r="L8" s="2">
        <v>0</v>
      </c>
      <c r="M8" s="2">
        <v>19</v>
      </c>
      <c r="N8" t="s">
        <v>520</v>
      </c>
      <c r="O8" s="2">
        <v>14</v>
      </c>
      <c r="P8" s="2">
        <v>0</v>
      </c>
      <c r="Q8" s="2">
        <v>14</v>
      </c>
    </row>
    <row r="9" spans="2:17" x14ac:dyDescent="0.25">
      <c r="B9" t="s">
        <v>1073</v>
      </c>
      <c r="C9" s="2">
        <v>53</v>
      </c>
      <c r="D9" s="2">
        <v>7</v>
      </c>
      <c r="E9" s="2">
        <v>46</v>
      </c>
      <c r="F9" s="5">
        <v>4515500</v>
      </c>
      <c r="J9" t="s">
        <v>647</v>
      </c>
      <c r="K9" s="2">
        <v>18</v>
      </c>
      <c r="L9" s="2">
        <v>0</v>
      </c>
      <c r="M9" s="2">
        <v>18</v>
      </c>
      <c r="N9" t="s">
        <v>221</v>
      </c>
      <c r="O9" s="2">
        <v>13</v>
      </c>
      <c r="P9" s="2">
        <v>0</v>
      </c>
      <c r="Q9" s="2">
        <v>13</v>
      </c>
    </row>
    <row r="10" spans="2:17" x14ac:dyDescent="0.25">
      <c r="B10" t="s">
        <v>1275</v>
      </c>
      <c r="C10" s="2">
        <v>52</v>
      </c>
      <c r="D10" s="2">
        <v>7</v>
      </c>
      <c r="E10" s="2">
        <v>45</v>
      </c>
      <c r="F10" s="5">
        <v>4309800</v>
      </c>
      <c r="J10" t="s">
        <v>206</v>
      </c>
      <c r="K10" s="2">
        <v>17</v>
      </c>
      <c r="L10" s="2">
        <v>0</v>
      </c>
      <c r="M10" s="2">
        <v>17</v>
      </c>
      <c r="N10" t="s">
        <v>441</v>
      </c>
      <c r="O10" s="2">
        <v>13</v>
      </c>
      <c r="P10" s="2">
        <v>0</v>
      </c>
      <c r="Q10" s="2">
        <v>13</v>
      </c>
    </row>
    <row r="11" spans="2:17" x14ac:dyDescent="0.25">
      <c r="J11" t="s">
        <v>61</v>
      </c>
      <c r="K11" s="2">
        <v>16</v>
      </c>
      <c r="L11" s="2">
        <v>16</v>
      </c>
      <c r="M11" s="2">
        <v>0</v>
      </c>
      <c r="N11" t="s">
        <v>587</v>
      </c>
      <c r="O11" s="2">
        <v>13</v>
      </c>
      <c r="P11" s="2">
        <v>0</v>
      </c>
      <c r="Q11" s="2">
        <v>13</v>
      </c>
    </row>
    <row r="12" spans="2:17" x14ac:dyDescent="0.25">
      <c r="J12" t="s">
        <v>230</v>
      </c>
      <c r="K12" s="2">
        <v>16</v>
      </c>
      <c r="L12" s="2">
        <v>0</v>
      </c>
      <c r="M12" s="2">
        <v>16</v>
      </c>
      <c r="N12" t="s">
        <v>570</v>
      </c>
      <c r="O12" s="2">
        <v>11</v>
      </c>
      <c r="P12" s="2">
        <v>0</v>
      </c>
      <c r="Q12" s="2">
        <v>11</v>
      </c>
    </row>
    <row r="13" spans="2:17" x14ac:dyDescent="0.25">
      <c r="J13" t="s">
        <v>622</v>
      </c>
      <c r="K13" s="2">
        <v>16</v>
      </c>
      <c r="L13" s="2">
        <v>0</v>
      </c>
      <c r="M13" s="2">
        <v>16</v>
      </c>
      <c r="N13" t="s">
        <v>437</v>
      </c>
      <c r="O13" s="2">
        <v>10</v>
      </c>
      <c r="P13" s="2">
        <v>0</v>
      </c>
      <c r="Q13" s="2">
        <v>10</v>
      </c>
    </row>
    <row r="14" spans="2:17" x14ac:dyDescent="0.25">
      <c r="J14" t="s">
        <v>89</v>
      </c>
      <c r="K14" s="2">
        <v>15</v>
      </c>
      <c r="L14" s="2">
        <v>15</v>
      </c>
      <c r="M14" s="2">
        <v>0</v>
      </c>
      <c r="N14" t="s">
        <v>603</v>
      </c>
      <c r="O14" s="2">
        <v>10</v>
      </c>
      <c r="P14" s="2">
        <v>0</v>
      </c>
      <c r="Q14" s="2">
        <v>10</v>
      </c>
    </row>
    <row r="15" spans="2:17" x14ac:dyDescent="0.25">
      <c r="J15" t="s">
        <v>185</v>
      </c>
      <c r="K15" s="2">
        <v>15</v>
      </c>
      <c r="L15" s="2">
        <v>15</v>
      </c>
      <c r="M15" s="2">
        <v>0</v>
      </c>
      <c r="N15" t="s">
        <v>11</v>
      </c>
      <c r="O15" s="2">
        <v>7</v>
      </c>
      <c r="P15" s="2">
        <v>7</v>
      </c>
      <c r="Q15" s="2">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F6DFB-F727-4062-8D32-4C6EB7B8A445}">
  <sheetPr>
    <tabColor theme="6" tint="-0.249977111117893"/>
  </sheetPr>
  <dimension ref="A1:O58"/>
  <sheetViews>
    <sheetView zoomScale="80" zoomScaleNormal="80" workbookViewId="0">
      <selection activeCell="D3" sqref="D3"/>
    </sheetView>
  </sheetViews>
  <sheetFormatPr defaultRowHeight="15" x14ac:dyDescent="0.25"/>
  <cols>
    <col min="1" max="1" width="16.140625" bestFit="1" customWidth="1"/>
    <col min="2" max="2" width="14" customWidth="1"/>
    <col min="3" max="3" width="41.28515625" bestFit="1" customWidth="1"/>
    <col min="4" max="4" width="26.140625" bestFit="1" customWidth="1"/>
    <col min="5" max="5" width="10.7109375" customWidth="1"/>
    <col min="6" max="6" width="15.140625" customWidth="1"/>
    <col min="7" max="7" width="18.28515625" bestFit="1" customWidth="1"/>
    <col min="8" max="8" width="15.7109375" customWidth="1"/>
    <col min="9" max="9" width="37.5703125" bestFit="1" customWidth="1"/>
    <col min="10" max="10" width="35.7109375" customWidth="1"/>
    <col min="11" max="11" width="18.7109375" customWidth="1"/>
    <col min="12" max="12" width="18" customWidth="1"/>
    <col min="13" max="15" width="12.7109375" customWidth="1"/>
  </cols>
  <sheetData>
    <row r="1" spans="1:15" ht="15.75" x14ac:dyDescent="0.25">
      <c r="A1" s="61" t="s">
        <v>1478</v>
      </c>
      <c r="B1" s="62"/>
      <c r="C1" s="62"/>
    </row>
    <row r="2" spans="1:15" ht="15.75" x14ac:dyDescent="0.25">
      <c r="A2" s="61" t="s">
        <v>1668</v>
      </c>
      <c r="B2" s="62"/>
      <c r="C2" s="62"/>
    </row>
    <row r="5" spans="1:15" ht="30" customHeight="1" x14ac:dyDescent="0.25">
      <c r="A5" s="16" t="s">
        <v>0</v>
      </c>
      <c r="B5" s="16" t="s">
        <v>1</v>
      </c>
      <c r="C5" s="16" t="s">
        <v>2</v>
      </c>
      <c r="D5" s="16" t="s">
        <v>3</v>
      </c>
      <c r="E5" s="16" t="s">
        <v>4</v>
      </c>
      <c r="F5" s="16" t="s">
        <v>5</v>
      </c>
      <c r="G5" s="16" t="s">
        <v>6</v>
      </c>
      <c r="H5" s="16" t="s">
        <v>7</v>
      </c>
      <c r="I5" s="16" t="s">
        <v>8</v>
      </c>
      <c r="J5" s="16" t="s">
        <v>1468</v>
      </c>
      <c r="K5" s="16" t="s">
        <v>1469</v>
      </c>
      <c r="L5" s="16" t="s">
        <v>1470</v>
      </c>
      <c r="M5" s="16" t="s">
        <v>1471</v>
      </c>
      <c r="N5" s="16" t="s">
        <v>1473</v>
      </c>
      <c r="O5" s="16" t="s">
        <v>1472</v>
      </c>
    </row>
    <row r="6" spans="1:15" ht="30" customHeight="1" x14ac:dyDescent="0.25">
      <c r="A6" t="s">
        <v>9</v>
      </c>
      <c r="B6" s="2">
        <v>778636</v>
      </c>
      <c r="C6" t="s">
        <v>117</v>
      </c>
      <c r="D6" s="1" t="s">
        <v>118</v>
      </c>
      <c r="E6" t="b">
        <v>1</v>
      </c>
      <c r="F6" s="5">
        <v>366100</v>
      </c>
      <c r="G6" t="s">
        <v>119</v>
      </c>
      <c r="H6" t="s">
        <v>120</v>
      </c>
      <c r="I6" t="s">
        <v>121</v>
      </c>
      <c r="J6" s="21" t="s">
        <v>1565</v>
      </c>
      <c r="K6" t="s">
        <v>1576</v>
      </c>
      <c r="L6" s="12" t="b">
        <f>IF(COUNTIF(M6:O6, TRUE) =3,TRUE, IF(COUNTIF(M6:O6,TRUE)&gt;=1,"RECEIVED", FALSE))</f>
        <v>1</v>
      </c>
      <c r="M6" s="10" t="b">
        <v>1</v>
      </c>
      <c r="N6" s="10" t="b">
        <v>1</v>
      </c>
      <c r="O6" s="10" t="b">
        <v>1</v>
      </c>
    </row>
    <row r="7" spans="1:15" ht="30" customHeight="1" x14ac:dyDescent="0.25">
      <c r="A7" t="s">
        <v>9</v>
      </c>
      <c r="B7" s="2">
        <v>730226</v>
      </c>
      <c r="C7" t="s">
        <v>88</v>
      </c>
      <c r="D7" s="1" t="s">
        <v>89</v>
      </c>
      <c r="E7" t="b">
        <v>1</v>
      </c>
      <c r="F7" s="5">
        <v>43100</v>
      </c>
      <c r="G7" t="s">
        <v>90</v>
      </c>
      <c r="H7" t="s">
        <v>91</v>
      </c>
      <c r="I7" t="s">
        <v>92</v>
      </c>
      <c r="J7" s="21" t="s">
        <v>1490</v>
      </c>
      <c r="K7" t="s">
        <v>1576</v>
      </c>
      <c r="L7" s="12" t="b">
        <f t="shared" ref="L7:L58" si="0">IF(COUNTIF(M7:O7, TRUE) =3,TRUE, IF(COUNTIF(M7:O7,TRUE)&gt;=1,"RECEIVED", FALSE))</f>
        <v>1</v>
      </c>
      <c r="M7" s="10" t="b">
        <v>1</v>
      </c>
      <c r="N7" s="10" t="b">
        <v>1</v>
      </c>
      <c r="O7" s="10" t="b">
        <v>1</v>
      </c>
    </row>
    <row r="8" spans="1:15" ht="30" customHeight="1" x14ac:dyDescent="0.25">
      <c r="A8" t="s">
        <v>9</v>
      </c>
      <c r="B8" s="2">
        <v>983322</v>
      </c>
      <c r="C8" t="s">
        <v>27</v>
      </c>
      <c r="D8" s="1" t="s">
        <v>28</v>
      </c>
      <c r="E8" t="b">
        <v>1</v>
      </c>
      <c r="F8" s="5">
        <v>357500</v>
      </c>
      <c r="G8" t="s">
        <v>29</v>
      </c>
      <c r="H8" t="s">
        <v>30</v>
      </c>
      <c r="I8" t="s">
        <v>31</v>
      </c>
      <c r="J8" s="21" t="s">
        <v>1541</v>
      </c>
      <c r="K8" t="s">
        <v>1576</v>
      </c>
      <c r="L8" s="12" t="b">
        <f t="shared" si="0"/>
        <v>1</v>
      </c>
      <c r="M8" s="10" t="b">
        <v>1</v>
      </c>
      <c r="N8" s="10" t="b">
        <v>1</v>
      </c>
      <c r="O8" s="10" t="b">
        <v>1</v>
      </c>
    </row>
    <row r="9" spans="1:15" ht="30" customHeight="1" x14ac:dyDescent="0.25">
      <c r="A9" t="s">
        <v>9</v>
      </c>
      <c r="B9" s="2">
        <v>112046</v>
      </c>
      <c r="C9" t="s">
        <v>184</v>
      </c>
      <c r="D9" s="1" t="s">
        <v>185</v>
      </c>
      <c r="E9" t="b">
        <v>1</v>
      </c>
      <c r="F9" s="5">
        <v>70900</v>
      </c>
      <c r="G9" t="s">
        <v>186</v>
      </c>
      <c r="H9" t="s">
        <v>187</v>
      </c>
      <c r="I9" t="s">
        <v>188</v>
      </c>
      <c r="J9" s="21" t="s">
        <v>1578</v>
      </c>
      <c r="K9" t="s">
        <v>1577</v>
      </c>
      <c r="L9" s="12" t="b">
        <f t="shared" si="0"/>
        <v>0</v>
      </c>
      <c r="M9" s="10" t="b">
        <v>0</v>
      </c>
      <c r="N9" s="10" t="b">
        <v>0</v>
      </c>
      <c r="O9" s="10" t="b">
        <v>0</v>
      </c>
    </row>
    <row r="10" spans="1:15" ht="30" customHeight="1" x14ac:dyDescent="0.25">
      <c r="A10" t="s">
        <v>9</v>
      </c>
      <c r="B10" s="2">
        <v>247732</v>
      </c>
      <c r="C10" t="s">
        <v>210</v>
      </c>
      <c r="D10" s="1" t="s">
        <v>211</v>
      </c>
      <c r="E10" t="b">
        <v>0</v>
      </c>
      <c r="F10" s="5">
        <v>10200</v>
      </c>
      <c r="G10" t="s">
        <v>212</v>
      </c>
      <c r="H10" t="s">
        <v>213</v>
      </c>
      <c r="I10" t="s">
        <v>214</v>
      </c>
      <c r="J10" s="21" t="s">
        <v>1579</v>
      </c>
      <c r="K10" t="s">
        <v>1488</v>
      </c>
      <c r="L10" s="12" t="str">
        <f t="shared" si="0"/>
        <v>RECEIVED</v>
      </c>
      <c r="M10" s="10" t="b">
        <v>0</v>
      </c>
      <c r="N10" s="10" t="b">
        <v>1</v>
      </c>
      <c r="O10" s="10" t="b">
        <v>1</v>
      </c>
    </row>
    <row r="11" spans="1:15" ht="30" customHeight="1" x14ac:dyDescent="0.25">
      <c r="A11" t="s">
        <v>9</v>
      </c>
      <c r="B11" s="2">
        <v>838171</v>
      </c>
      <c r="C11" t="s">
        <v>60</v>
      </c>
      <c r="D11" s="1" t="s">
        <v>61</v>
      </c>
      <c r="E11" t="b">
        <v>1</v>
      </c>
      <c r="F11" s="5">
        <v>179800</v>
      </c>
      <c r="G11" t="s">
        <v>62</v>
      </c>
      <c r="H11" t="s">
        <v>63</v>
      </c>
      <c r="I11" t="s">
        <v>64</v>
      </c>
      <c r="J11" s="21" t="s">
        <v>1580</v>
      </c>
      <c r="K11" t="s">
        <v>1577</v>
      </c>
      <c r="L11" s="12" t="b">
        <f t="shared" si="0"/>
        <v>0</v>
      </c>
      <c r="M11" s="10" t="b">
        <v>0</v>
      </c>
      <c r="N11" s="10" t="b">
        <v>0</v>
      </c>
      <c r="O11" s="10" t="b">
        <v>0</v>
      </c>
    </row>
    <row r="12" spans="1:15" ht="30" customHeight="1" x14ac:dyDescent="0.25">
      <c r="A12" t="s">
        <v>9</v>
      </c>
      <c r="B12" s="2">
        <v>622668</v>
      </c>
      <c r="C12" t="s">
        <v>229</v>
      </c>
      <c r="D12" s="1" t="s">
        <v>230</v>
      </c>
      <c r="E12" t="b">
        <v>0</v>
      </c>
      <c r="F12" s="5">
        <v>45400</v>
      </c>
      <c r="G12" t="s">
        <v>231</v>
      </c>
      <c r="H12" t="s">
        <v>232</v>
      </c>
      <c r="I12" t="s">
        <v>233</v>
      </c>
      <c r="J12" s="21" t="s">
        <v>1557</v>
      </c>
      <c r="K12" t="s">
        <v>1576</v>
      </c>
      <c r="L12" s="12" t="b">
        <f t="shared" si="0"/>
        <v>1</v>
      </c>
      <c r="M12" s="10" t="b">
        <v>1</v>
      </c>
      <c r="N12" s="10" t="b">
        <v>1</v>
      </c>
      <c r="O12" s="10" t="b">
        <v>1</v>
      </c>
    </row>
    <row r="13" spans="1:15" ht="30" customHeight="1" x14ac:dyDescent="0.25">
      <c r="A13" t="s">
        <v>9</v>
      </c>
      <c r="B13" s="2">
        <v>630955</v>
      </c>
      <c r="C13" t="s">
        <v>122</v>
      </c>
      <c r="D13" s="1" t="s">
        <v>118</v>
      </c>
      <c r="E13" t="b">
        <v>1</v>
      </c>
      <c r="F13" s="5">
        <v>283800</v>
      </c>
      <c r="G13" t="s">
        <v>123</v>
      </c>
      <c r="H13" t="s">
        <v>124</v>
      </c>
      <c r="I13" t="s">
        <v>125</v>
      </c>
      <c r="J13" s="21" t="s">
        <v>1581</v>
      </c>
      <c r="K13" t="s">
        <v>1577</v>
      </c>
      <c r="L13" s="12" t="b">
        <f t="shared" si="0"/>
        <v>0</v>
      </c>
      <c r="M13" s="10" t="b">
        <v>0</v>
      </c>
      <c r="N13" s="10" t="b">
        <v>0</v>
      </c>
      <c r="O13" s="10" t="b">
        <v>0</v>
      </c>
    </row>
    <row r="14" spans="1:15" ht="30" customHeight="1" x14ac:dyDescent="0.25">
      <c r="A14" t="s">
        <v>9</v>
      </c>
      <c r="B14" s="2">
        <v>957873</v>
      </c>
      <c r="C14" t="s">
        <v>159</v>
      </c>
      <c r="D14" s="1" t="s">
        <v>160</v>
      </c>
      <c r="E14" t="b">
        <v>1</v>
      </c>
      <c r="F14" s="5">
        <v>124600</v>
      </c>
      <c r="G14" t="s">
        <v>161</v>
      </c>
      <c r="H14" t="s">
        <v>162</v>
      </c>
      <c r="I14" t="s">
        <v>163</v>
      </c>
      <c r="J14" s="21" t="s">
        <v>1582</v>
      </c>
      <c r="K14" t="s">
        <v>1577</v>
      </c>
      <c r="L14" s="12" t="str">
        <f t="shared" si="0"/>
        <v>RECEIVED</v>
      </c>
      <c r="M14" s="10" t="b">
        <v>1</v>
      </c>
      <c r="N14" s="10" t="b">
        <v>1</v>
      </c>
      <c r="O14" s="10" t="b">
        <v>0</v>
      </c>
    </row>
    <row r="15" spans="1:15" ht="30" customHeight="1" x14ac:dyDescent="0.25">
      <c r="A15" t="s">
        <v>9</v>
      </c>
      <c r="B15" s="2">
        <v>803052</v>
      </c>
      <c r="C15" t="s">
        <v>65</v>
      </c>
      <c r="D15" s="1" t="s">
        <v>61</v>
      </c>
      <c r="E15" t="b">
        <v>1</v>
      </c>
      <c r="F15" s="5">
        <v>183100</v>
      </c>
      <c r="G15" t="s">
        <v>66</v>
      </c>
      <c r="H15" t="s">
        <v>67</v>
      </c>
      <c r="I15" t="s">
        <v>68</v>
      </c>
      <c r="J15" s="21" t="s">
        <v>1511</v>
      </c>
      <c r="K15" t="s">
        <v>1576</v>
      </c>
      <c r="L15" s="12" t="b">
        <f t="shared" si="0"/>
        <v>1</v>
      </c>
      <c r="M15" s="10" t="b">
        <v>1</v>
      </c>
      <c r="N15" s="10" t="b">
        <v>1</v>
      </c>
      <c r="O15" s="10" t="b">
        <v>1</v>
      </c>
    </row>
    <row r="16" spans="1:15" ht="30" customHeight="1" x14ac:dyDescent="0.25">
      <c r="A16" t="s">
        <v>9</v>
      </c>
      <c r="B16" s="2">
        <v>207559</v>
      </c>
      <c r="C16" t="s">
        <v>93</v>
      </c>
      <c r="D16" s="1" t="s">
        <v>89</v>
      </c>
      <c r="E16" t="b">
        <v>1</v>
      </c>
      <c r="F16" s="5">
        <v>123700</v>
      </c>
      <c r="G16" t="s">
        <v>94</v>
      </c>
      <c r="H16" t="s">
        <v>95</v>
      </c>
      <c r="I16" t="s">
        <v>96</v>
      </c>
      <c r="J16" s="21" t="s">
        <v>1583</v>
      </c>
      <c r="K16" t="s">
        <v>1488</v>
      </c>
      <c r="L16" s="12" t="str">
        <f t="shared" si="0"/>
        <v>RECEIVED</v>
      </c>
      <c r="M16" s="10" t="b">
        <v>1</v>
      </c>
      <c r="N16" s="10" t="b">
        <v>1</v>
      </c>
      <c r="O16" s="10" t="b">
        <v>0</v>
      </c>
    </row>
    <row r="17" spans="1:15" ht="30" customHeight="1" x14ac:dyDescent="0.25">
      <c r="A17" t="s">
        <v>9</v>
      </c>
      <c r="B17" s="2">
        <v>340047</v>
      </c>
      <c r="C17" t="s">
        <v>10</v>
      </c>
      <c r="D17" s="1" t="s">
        <v>11</v>
      </c>
      <c r="E17" t="b">
        <v>1</v>
      </c>
      <c r="F17" s="5">
        <v>237300</v>
      </c>
      <c r="G17" t="s">
        <v>12</v>
      </c>
      <c r="H17" t="s">
        <v>13</v>
      </c>
      <c r="I17" t="s">
        <v>14</v>
      </c>
      <c r="J17" s="22" t="s">
        <v>1584</v>
      </c>
      <c r="K17" t="s">
        <v>1488</v>
      </c>
      <c r="L17" s="12" t="str">
        <f t="shared" si="0"/>
        <v>RECEIVED</v>
      </c>
      <c r="M17" s="10" t="b">
        <v>1</v>
      </c>
      <c r="N17" s="10" t="b">
        <v>1</v>
      </c>
      <c r="O17" s="10" t="b">
        <v>0</v>
      </c>
    </row>
    <row r="18" spans="1:15" ht="30" customHeight="1" x14ac:dyDescent="0.25">
      <c r="A18" t="s">
        <v>9</v>
      </c>
      <c r="B18" s="2">
        <v>757111</v>
      </c>
      <c r="C18" t="s">
        <v>97</v>
      </c>
      <c r="D18" s="1" t="s">
        <v>89</v>
      </c>
      <c r="E18" t="b">
        <v>1</v>
      </c>
      <c r="F18" s="5">
        <v>195500</v>
      </c>
      <c r="G18" t="s">
        <v>98</v>
      </c>
      <c r="H18" t="s">
        <v>99</v>
      </c>
      <c r="I18" t="s">
        <v>100</v>
      </c>
      <c r="J18" s="21" t="s">
        <v>1585</v>
      </c>
      <c r="K18" t="s">
        <v>1577</v>
      </c>
      <c r="L18" s="12" t="b">
        <f t="shared" si="0"/>
        <v>0</v>
      </c>
      <c r="M18" s="10" t="b">
        <v>0</v>
      </c>
      <c r="N18" s="10" t="b">
        <v>0</v>
      </c>
      <c r="O18" s="10" t="b">
        <v>0</v>
      </c>
    </row>
    <row r="19" spans="1:15" ht="30" customHeight="1" x14ac:dyDescent="0.25">
      <c r="A19" t="s">
        <v>9</v>
      </c>
      <c r="B19" s="2">
        <v>834744</v>
      </c>
      <c r="C19" t="s">
        <v>69</v>
      </c>
      <c r="D19" s="1" t="s">
        <v>61</v>
      </c>
      <c r="E19" t="b">
        <v>1</v>
      </c>
      <c r="F19" s="5">
        <v>20900</v>
      </c>
      <c r="G19" t="s">
        <v>70</v>
      </c>
      <c r="H19" t="s">
        <v>71</v>
      </c>
      <c r="I19" t="s">
        <v>72</v>
      </c>
      <c r="J19" s="21" t="s">
        <v>1586</v>
      </c>
      <c r="K19" t="s">
        <v>1488</v>
      </c>
      <c r="L19" s="12" t="str">
        <f t="shared" si="0"/>
        <v>RECEIVED</v>
      </c>
      <c r="M19" s="10" t="b">
        <v>0</v>
      </c>
      <c r="N19" s="10" t="b">
        <v>1</v>
      </c>
      <c r="O19" s="10" t="b">
        <v>0</v>
      </c>
    </row>
    <row r="20" spans="1:15" ht="30" customHeight="1" x14ac:dyDescent="0.25">
      <c r="A20" t="s">
        <v>9</v>
      </c>
      <c r="B20" s="2">
        <v>778285</v>
      </c>
      <c r="C20" t="s">
        <v>15</v>
      </c>
      <c r="D20" s="1" t="s">
        <v>11</v>
      </c>
      <c r="E20" t="b">
        <v>1</v>
      </c>
      <c r="F20" s="5">
        <v>84100</v>
      </c>
      <c r="G20" t="s">
        <v>16</v>
      </c>
      <c r="H20" t="s">
        <v>17</v>
      </c>
      <c r="I20" t="s">
        <v>18</v>
      </c>
      <c r="J20" s="21" t="s">
        <v>1587</v>
      </c>
      <c r="K20" t="s">
        <v>1577</v>
      </c>
      <c r="L20" s="12" t="b">
        <f t="shared" si="0"/>
        <v>0</v>
      </c>
      <c r="M20" s="10" t="b">
        <v>0</v>
      </c>
      <c r="N20" s="10" t="b">
        <v>0</v>
      </c>
      <c r="O20" s="10" t="b">
        <v>0</v>
      </c>
    </row>
    <row r="21" spans="1:15" ht="30" customHeight="1" x14ac:dyDescent="0.25">
      <c r="A21" t="s">
        <v>9</v>
      </c>
      <c r="B21" s="2">
        <v>626279</v>
      </c>
      <c r="C21" t="s">
        <v>220</v>
      </c>
      <c r="D21" s="1" t="s">
        <v>221</v>
      </c>
      <c r="E21" t="b">
        <v>0</v>
      </c>
      <c r="F21" s="5">
        <v>1800</v>
      </c>
      <c r="G21" t="s">
        <v>222</v>
      </c>
      <c r="H21" t="s">
        <v>223</v>
      </c>
      <c r="I21" t="s">
        <v>224</v>
      </c>
      <c r="J21" s="21" t="s">
        <v>1502</v>
      </c>
      <c r="K21" t="s">
        <v>1576</v>
      </c>
      <c r="L21" s="12" t="b">
        <f t="shared" si="0"/>
        <v>1</v>
      </c>
      <c r="M21" s="10" t="b">
        <v>1</v>
      </c>
      <c r="N21" s="10" t="b">
        <v>1</v>
      </c>
      <c r="O21" s="10" t="b">
        <v>1</v>
      </c>
    </row>
    <row r="22" spans="1:15" ht="30" customHeight="1" x14ac:dyDescent="0.25">
      <c r="A22" t="s">
        <v>9</v>
      </c>
      <c r="B22" s="2">
        <v>521473</v>
      </c>
      <c r="C22" t="s">
        <v>32</v>
      </c>
      <c r="D22" s="1" t="s">
        <v>28</v>
      </c>
      <c r="E22" t="b">
        <v>1</v>
      </c>
      <c r="F22" s="5">
        <v>585700</v>
      </c>
      <c r="G22" t="s">
        <v>33</v>
      </c>
      <c r="H22" t="s">
        <v>34</v>
      </c>
      <c r="I22" t="s">
        <v>35</v>
      </c>
      <c r="J22" s="21" t="s">
        <v>1588</v>
      </c>
      <c r="K22" t="s">
        <v>1488</v>
      </c>
      <c r="L22" s="12" t="str">
        <f t="shared" si="0"/>
        <v>RECEIVED</v>
      </c>
      <c r="M22" s="10" t="b">
        <v>0</v>
      </c>
      <c r="N22" s="10" t="b">
        <v>1</v>
      </c>
      <c r="O22" s="10" t="b">
        <v>1</v>
      </c>
    </row>
    <row r="23" spans="1:15" ht="30" customHeight="1" x14ac:dyDescent="0.25">
      <c r="A23" t="s">
        <v>9</v>
      </c>
      <c r="B23" s="2">
        <v>408673</v>
      </c>
      <c r="C23" t="s">
        <v>205</v>
      </c>
      <c r="D23" s="1" t="s">
        <v>206</v>
      </c>
      <c r="E23" t="b">
        <v>0</v>
      </c>
      <c r="F23" s="5">
        <v>29600</v>
      </c>
      <c r="G23" t="s">
        <v>207</v>
      </c>
      <c r="H23" t="s">
        <v>208</v>
      </c>
      <c r="I23" t="s">
        <v>209</v>
      </c>
      <c r="J23" s="21" t="s">
        <v>1527</v>
      </c>
      <c r="K23" t="s">
        <v>1488</v>
      </c>
      <c r="L23" s="12" t="str">
        <f t="shared" si="0"/>
        <v>RECEIVED</v>
      </c>
      <c r="M23" s="10" t="b">
        <v>1</v>
      </c>
      <c r="N23" s="10" t="b">
        <v>0</v>
      </c>
      <c r="O23" s="10" t="b">
        <v>0</v>
      </c>
    </row>
    <row r="24" spans="1:15" ht="30" customHeight="1" x14ac:dyDescent="0.25">
      <c r="A24" t="s">
        <v>9</v>
      </c>
      <c r="B24" s="2">
        <v>382104</v>
      </c>
      <c r="C24" t="s">
        <v>126</v>
      </c>
      <c r="D24" s="1" t="s">
        <v>118</v>
      </c>
      <c r="E24" t="b">
        <v>1</v>
      </c>
      <c r="F24" s="5">
        <v>336000</v>
      </c>
      <c r="G24" t="s">
        <v>127</v>
      </c>
      <c r="H24" t="s">
        <v>128</v>
      </c>
      <c r="I24" t="s">
        <v>129</v>
      </c>
      <c r="J24" s="21" t="s">
        <v>1589</v>
      </c>
      <c r="K24" t="s">
        <v>1488</v>
      </c>
      <c r="L24" s="12" t="str">
        <f t="shared" si="0"/>
        <v>RECEIVED</v>
      </c>
      <c r="M24" s="10" t="b">
        <v>1</v>
      </c>
      <c r="N24" s="10" t="b">
        <v>0</v>
      </c>
      <c r="O24" s="10" t="b">
        <v>1</v>
      </c>
    </row>
    <row r="25" spans="1:15" ht="30" customHeight="1" x14ac:dyDescent="0.25">
      <c r="A25" t="s">
        <v>9</v>
      </c>
      <c r="B25" s="2">
        <v>257122</v>
      </c>
      <c r="C25" t="s">
        <v>164</v>
      </c>
      <c r="D25" s="1" t="s">
        <v>160</v>
      </c>
      <c r="E25" t="b">
        <v>1</v>
      </c>
      <c r="F25" s="5">
        <v>82600</v>
      </c>
      <c r="G25" t="s">
        <v>165</v>
      </c>
      <c r="H25" t="s">
        <v>166</v>
      </c>
      <c r="I25" t="s">
        <v>167</v>
      </c>
      <c r="J25" s="21" t="s">
        <v>1564</v>
      </c>
      <c r="K25" t="s">
        <v>1576</v>
      </c>
      <c r="L25" s="12" t="b">
        <f t="shared" si="0"/>
        <v>1</v>
      </c>
      <c r="M25" s="10" t="b">
        <v>1</v>
      </c>
      <c r="N25" s="10" t="b">
        <v>1</v>
      </c>
      <c r="O25" s="10" t="b">
        <v>1</v>
      </c>
    </row>
    <row r="26" spans="1:15" ht="30" customHeight="1" x14ac:dyDescent="0.25">
      <c r="A26" t="s">
        <v>9</v>
      </c>
      <c r="B26" s="2">
        <v>580486</v>
      </c>
      <c r="C26" t="s">
        <v>142</v>
      </c>
      <c r="D26" s="1" t="s">
        <v>143</v>
      </c>
      <c r="E26" t="b">
        <v>1</v>
      </c>
      <c r="F26" s="5">
        <v>121300</v>
      </c>
      <c r="G26" t="s">
        <v>144</v>
      </c>
      <c r="H26" t="s">
        <v>145</v>
      </c>
      <c r="I26" t="s">
        <v>146</v>
      </c>
      <c r="J26" s="21" t="s">
        <v>1511</v>
      </c>
      <c r="K26" t="s">
        <v>1576</v>
      </c>
      <c r="L26" s="12" t="b">
        <f t="shared" si="0"/>
        <v>1</v>
      </c>
      <c r="M26" s="10" t="b">
        <v>1</v>
      </c>
      <c r="N26" s="10" t="b">
        <v>1</v>
      </c>
      <c r="O26" s="10" t="b">
        <v>1</v>
      </c>
    </row>
    <row r="27" spans="1:15" ht="30" customHeight="1" x14ac:dyDescent="0.25">
      <c r="A27" t="s">
        <v>9</v>
      </c>
      <c r="B27" s="2">
        <v>942580</v>
      </c>
      <c r="C27" t="s">
        <v>130</v>
      </c>
      <c r="D27" s="1" t="s">
        <v>118</v>
      </c>
      <c r="E27" t="b">
        <v>1</v>
      </c>
      <c r="F27" s="5">
        <v>225900</v>
      </c>
      <c r="G27" t="s">
        <v>131</v>
      </c>
      <c r="H27" t="s">
        <v>132</v>
      </c>
      <c r="I27" t="s">
        <v>133</v>
      </c>
      <c r="J27" s="21" t="s">
        <v>1564</v>
      </c>
      <c r="K27" t="s">
        <v>1576</v>
      </c>
      <c r="L27" s="12" t="b">
        <f t="shared" si="0"/>
        <v>1</v>
      </c>
      <c r="M27" s="10" t="b">
        <v>1</v>
      </c>
      <c r="N27" s="10" t="b">
        <v>1</v>
      </c>
      <c r="O27" s="10" t="b">
        <v>1</v>
      </c>
    </row>
    <row r="28" spans="1:15" ht="30" customHeight="1" x14ac:dyDescent="0.25">
      <c r="A28" t="s">
        <v>9</v>
      </c>
      <c r="B28" s="2">
        <v>966305</v>
      </c>
      <c r="C28" t="s">
        <v>73</v>
      </c>
      <c r="D28" s="1" t="s">
        <v>61</v>
      </c>
      <c r="E28" t="b">
        <v>1</v>
      </c>
      <c r="F28" s="5">
        <v>44200</v>
      </c>
      <c r="G28" t="s">
        <v>74</v>
      </c>
      <c r="H28" t="s">
        <v>46</v>
      </c>
      <c r="I28" t="s">
        <v>75</v>
      </c>
      <c r="J28" s="21" t="s">
        <v>1590</v>
      </c>
      <c r="K28" t="s">
        <v>1576</v>
      </c>
      <c r="L28" s="12" t="b">
        <f t="shared" si="0"/>
        <v>1</v>
      </c>
      <c r="M28" s="10" t="b">
        <v>1</v>
      </c>
      <c r="N28" s="10" t="b">
        <v>1</v>
      </c>
      <c r="O28" s="10" t="b">
        <v>1</v>
      </c>
    </row>
    <row r="29" spans="1:15" ht="30" customHeight="1" x14ac:dyDescent="0.25">
      <c r="A29" t="s">
        <v>9</v>
      </c>
      <c r="B29" s="2">
        <v>796147</v>
      </c>
      <c r="C29" t="s">
        <v>168</v>
      </c>
      <c r="D29" s="1" t="s">
        <v>160</v>
      </c>
      <c r="E29" t="b">
        <v>1</v>
      </c>
      <c r="F29" s="5">
        <v>148500</v>
      </c>
      <c r="G29" t="s">
        <v>169</v>
      </c>
      <c r="H29" t="s">
        <v>170</v>
      </c>
      <c r="I29" t="s">
        <v>171</v>
      </c>
      <c r="J29" s="21" t="s">
        <v>1509</v>
      </c>
      <c r="K29" t="s">
        <v>1488</v>
      </c>
      <c r="L29" s="12" t="str">
        <f t="shared" si="0"/>
        <v>RECEIVED</v>
      </c>
      <c r="M29" s="10" t="b">
        <v>1</v>
      </c>
      <c r="N29" s="10" t="b">
        <v>0</v>
      </c>
      <c r="O29" s="10" t="b">
        <v>0</v>
      </c>
    </row>
    <row r="30" spans="1:15" ht="30" customHeight="1" x14ac:dyDescent="0.25">
      <c r="A30" t="s">
        <v>9</v>
      </c>
      <c r="B30" s="2">
        <v>432039</v>
      </c>
      <c r="C30" t="s">
        <v>19</v>
      </c>
      <c r="D30" s="1" t="s">
        <v>11</v>
      </c>
      <c r="E30" t="b">
        <v>1</v>
      </c>
      <c r="F30" s="5">
        <v>130400</v>
      </c>
      <c r="G30" t="s">
        <v>20</v>
      </c>
      <c r="H30" t="s">
        <v>21</v>
      </c>
      <c r="I30" t="s">
        <v>22</v>
      </c>
      <c r="J30" s="21" t="s">
        <v>1590</v>
      </c>
      <c r="K30" t="s">
        <v>1576</v>
      </c>
      <c r="L30" s="12" t="b">
        <f t="shared" si="0"/>
        <v>1</v>
      </c>
      <c r="M30" s="10" t="b">
        <v>1</v>
      </c>
      <c r="N30" s="10" t="b">
        <v>1</v>
      </c>
      <c r="O30" s="10" t="b">
        <v>1</v>
      </c>
    </row>
    <row r="31" spans="1:15" ht="30" customHeight="1" x14ac:dyDescent="0.25">
      <c r="A31" t="s">
        <v>9</v>
      </c>
      <c r="B31" s="2">
        <v>579886</v>
      </c>
      <c r="C31" t="s">
        <v>101</v>
      </c>
      <c r="D31" s="1" t="s">
        <v>89</v>
      </c>
      <c r="E31" t="b">
        <v>1</v>
      </c>
      <c r="F31" s="5">
        <v>279000</v>
      </c>
      <c r="G31" t="s">
        <v>102</v>
      </c>
      <c r="H31" t="s">
        <v>103</v>
      </c>
      <c r="I31" t="s">
        <v>104</v>
      </c>
      <c r="J31" s="21" t="s">
        <v>1501</v>
      </c>
      <c r="K31" t="s">
        <v>1577</v>
      </c>
      <c r="L31" s="12" t="b">
        <f t="shared" si="0"/>
        <v>0</v>
      </c>
      <c r="M31" s="10" t="b">
        <v>0</v>
      </c>
      <c r="N31" s="10" t="b">
        <v>0</v>
      </c>
      <c r="O31" s="10" t="b">
        <v>0</v>
      </c>
    </row>
    <row r="32" spans="1:15" ht="30" customHeight="1" x14ac:dyDescent="0.25">
      <c r="A32" t="s">
        <v>9</v>
      </c>
      <c r="B32" s="2">
        <v>883864</v>
      </c>
      <c r="C32" t="s">
        <v>215</v>
      </c>
      <c r="D32" s="1" t="s">
        <v>216</v>
      </c>
      <c r="E32" t="b">
        <v>0</v>
      </c>
      <c r="F32" s="5">
        <v>7400</v>
      </c>
      <c r="G32" t="s">
        <v>217</v>
      </c>
      <c r="H32" t="s">
        <v>218</v>
      </c>
      <c r="I32" t="s">
        <v>219</v>
      </c>
      <c r="J32" s="21" t="s">
        <v>1512</v>
      </c>
      <c r="K32" t="s">
        <v>1576</v>
      </c>
      <c r="L32" s="12" t="b">
        <f t="shared" si="0"/>
        <v>1</v>
      </c>
      <c r="M32" s="10" t="b">
        <v>1</v>
      </c>
      <c r="N32" s="10" t="b">
        <v>1</v>
      </c>
      <c r="O32" s="10" t="b">
        <v>1</v>
      </c>
    </row>
    <row r="33" spans="1:15" ht="30" customHeight="1" x14ac:dyDescent="0.25">
      <c r="A33" t="s">
        <v>9</v>
      </c>
      <c r="B33" s="2">
        <v>573149</v>
      </c>
      <c r="C33" t="s">
        <v>105</v>
      </c>
      <c r="D33" s="1" t="s">
        <v>89</v>
      </c>
      <c r="E33" t="b">
        <v>1</v>
      </c>
      <c r="F33" s="5">
        <v>231600</v>
      </c>
      <c r="G33" t="s">
        <v>106</v>
      </c>
      <c r="H33" t="s">
        <v>107</v>
      </c>
      <c r="I33" t="s">
        <v>108</v>
      </c>
      <c r="J33" s="21" t="s">
        <v>1495</v>
      </c>
      <c r="K33" t="s">
        <v>1576</v>
      </c>
      <c r="L33" s="12" t="b">
        <f t="shared" si="0"/>
        <v>1</v>
      </c>
      <c r="M33" s="10" t="b">
        <v>1</v>
      </c>
      <c r="N33" s="10" t="b">
        <v>1</v>
      </c>
      <c r="O33" s="10" t="b">
        <v>1</v>
      </c>
    </row>
    <row r="34" spans="1:15" ht="30" customHeight="1" x14ac:dyDescent="0.25">
      <c r="A34" t="s">
        <v>9</v>
      </c>
      <c r="B34" s="2">
        <v>308448</v>
      </c>
      <c r="C34" t="s">
        <v>76</v>
      </c>
      <c r="D34" s="1" t="s">
        <v>61</v>
      </c>
      <c r="E34" t="b">
        <v>1</v>
      </c>
      <c r="F34" s="5">
        <v>260100</v>
      </c>
      <c r="G34" t="s">
        <v>77</v>
      </c>
      <c r="H34" t="s">
        <v>78</v>
      </c>
      <c r="I34" t="s">
        <v>79</v>
      </c>
      <c r="J34" s="21" t="s">
        <v>1512</v>
      </c>
      <c r="K34" t="s">
        <v>1576</v>
      </c>
      <c r="L34" s="12" t="b">
        <f t="shared" si="0"/>
        <v>1</v>
      </c>
      <c r="M34" s="10" t="b">
        <v>1</v>
      </c>
      <c r="N34" s="10" t="b">
        <v>1</v>
      </c>
      <c r="O34" s="10" t="b">
        <v>1</v>
      </c>
    </row>
    <row r="35" spans="1:15" ht="30" customHeight="1" x14ac:dyDescent="0.25">
      <c r="A35" t="s">
        <v>9</v>
      </c>
      <c r="B35" s="2">
        <v>888377</v>
      </c>
      <c r="C35" t="s">
        <v>147</v>
      </c>
      <c r="D35" s="1" t="s">
        <v>143</v>
      </c>
      <c r="E35" t="b">
        <v>1</v>
      </c>
      <c r="F35" s="5">
        <v>46800</v>
      </c>
      <c r="G35" t="s">
        <v>148</v>
      </c>
      <c r="H35" t="s">
        <v>149</v>
      </c>
      <c r="I35" t="s">
        <v>150</v>
      </c>
      <c r="J35" s="21" t="s">
        <v>1507</v>
      </c>
      <c r="K35" t="s">
        <v>1576</v>
      </c>
      <c r="L35" s="12" t="b">
        <f t="shared" si="0"/>
        <v>1</v>
      </c>
      <c r="M35" s="10" t="b">
        <v>1</v>
      </c>
      <c r="N35" s="10" t="b">
        <v>1</v>
      </c>
      <c r="O35" s="10" t="b">
        <v>1</v>
      </c>
    </row>
    <row r="36" spans="1:15" ht="30" customHeight="1" x14ac:dyDescent="0.25">
      <c r="A36" t="s">
        <v>9</v>
      </c>
      <c r="B36" s="2">
        <v>894465</v>
      </c>
      <c r="C36" t="s">
        <v>134</v>
      </c>
      <c r="D36" s="1" t="s">
        <v>118</v>
      </c>
      <c r="E36" t="b">
        <v>1</v>
      </c>
      <c r="F36" s="5">
        <v>434200</v>
      </c>
      <c r="G36" t="s">
        <v>135</v>
      </c>
      <c r="H36" t="s">
        <v>136</v>
      </c>
      <c r="I36" t="s">
        <v>137</v>
      </c>
      <c r="J36" s="21" t="s">
        <v>1591</v>
      </c>
      <c r="K36" t="s">
        <v>1577</v>
      </c>
      <c r="L36" s="12" t="b">
        <f t="shared" si="0"/>
        <v>0</v>
      </c>
      <c r="M36" s="10" t="b">
        <v>0</v>
      </c>
      <c r="N36" s="10" t="b">
        <v>0</v>
      </c>
      <c r="O36" s="10" t="b">
        <v>0</v>
      </c>
    </row>
    <row r="37" spans="1:15" ht="30" customHeight="1" x14ac:dyDescent="0.25">
      <c r="A37" t="s">
        <v>9</v>
      </c>
      <c r="B37" s="2">
        <v>766274</v>
      </c>
      <c r="C37" t="s">
        <v>189</v>
      </c>
      <c r="D37" s="1" t="s">
        <v>185</v>
      </c>
      <c r="E37" t="b">
        <v>1</v>
      </c>
      <c r="F37" s="5">
        <v>635500</v>
      </c>
      <c r="G37" t="s">
        <v>190</v>
      </c>
      <c r="H37" t="s">
        <v>191</v>
      </c>
      <c r="I37" t="s">
        <v>192</v>
      </c>
      <c r="J37" s="21" t="s">
        <v>1536</v>
      </c>
      <c r="K37" t="s">
        <v>1488</v>
      </c>
      <c r="L37" s="12" t="str">
        <f t="shared" si="0"/>
        <v>RECEIVED</v>
      </c>
      <c r="M37" s="10" t="b">
        <v>1</v>
      </c>
      <c r="N37" s="10" t="b">
        <v>1</v>
      </c>
      <c r="O37" s="10" t="b">
        <v>0</v>
      </c>
    </row>
    <row r="38" spans="1:15" ht="30" customHeight="1" x14ac:dyDescent="0.25">
      <c r="A38" t="s">
        <v>9</v>
      </c>
      <c r="B38" s="2">
        <v>906908</v>
      </c>
      <c r="C38" t="s">
        <v>80</v>
      </c>
      <c r="D38" s="1" t="s">
        <v>61</v>
      </c>
      <c r="E38" t="b">
        <v>1</v>
      </c>
      <c r="F38" s="5">
        <v>212600</v>
      </c>
      <c r="G38" t="s">
        <v>81</v>
      </c>
      <c r="H38" t="s">
        <v>82</v>
      </c>
      <c r="I38" t="s">
        <v>83</v>
      </c>
      <c r="J38" s="21" t="s">
        <v>1565</v>
      </c>
      <c r="K38" t="s">
        <v>1576</v>
      </c>
      <c r="L38" s="12" t="b">
        <f t="shared" si="0"/>
        <v>1</v>
      </c>
      <c r="M38" s="10" t="b">
        <v>1</v>
      </c>
      <c r="N38" s="10" t="b">
        <v>1</v>
      </c>
      <c r="O38" s="10" t="b">
        <v>1</v>
      </c>
    </row>
    <row r="39" spans="1:15" ht="30" customHeight="1" x14ac:dyDescent="0.25">
      <c r="A39" t="s">
        <v>9</v>
      </c>
      <c r="B39" s="2">
        <v>672316</v>
      </c>
      <c r="C39" t="s">
        <v>36</v>
      </c>
      <c r="D39" s="1" t="s">
        <v>28</v>
      </c>
      <c r="E39" t="b">
        <v>1</v>
      </c>
      <c r="F39" s="5">
        <v>267600</v>
      </c>
      <c r="G39" t="s">
        <v>37</v>
      </c>
      <c r="H39" t="s">
        <v>38</v>
      </c>
      <c r="I39" t="s">
        <v>39</v>
      </c>
      <c r="J39" s="21" t="s">
        <v>1531</v>
      </c>
      <c r="K39" t="s">
        <v>1576</v>
      </c>
      <c r="L39" s="12" t="b">
        <f t="shared" si="0"/>
        <v>1</v>
      </c>
      <c r="M39" s="10" t="b">
        <v>1</v>
      </c>
      <c r="N39" s="10" t="b">
        <v>1</v>
      </c>
      <c r="O39" s="10" t="b">
        <v>1</v>
      </c>
    </row>
    <row r="40" spans="1:15" ht="30" customHeight="1" x14ac:dyDescent="0.25">
      <c r="A40" t="s">
        <v>9</v>
      </c>
      <c r="B40" s="2">
        <v>595959</v>
      </c>
      <c r="C40" t="s">
        <v>172</v>
      </c>
      <c r="D40" s="1" t="s">
        <v>160</v>
      </c>
      <c r="E40" t="b">
        <v>1</v>
      </c>
      <c r="F40" s="5">
        <v>169800</v>
      </c>
      <c r="G40" t="s">
        <v>173</v>
      </c>
      <c r="H40" t="s">
        <v>174</v>
      </c>
      <c r="I40" t="s">
        <v>175</v>
      </c>
      <c r="J40" s="21" t="s">
        <v>1592</v>
      </c>
      <c r="K40" t="s">
        <v>1576</v>
      </c>
      <c r="L40" s="12" t="b">
        <f t="shared" si="0"/>
        <v>1</v>
      </c>
      <c r="M40" s="10" t="b">
        <v>1</v>
      </c>
      <c r="N40" s="10" t="b">
        <v>1</v>
      </c>
      <c r="O40" s="10" t="b">
        <v>1</v>
      </c>
    </row>
    <row r="41" spans="1:15" ht="30" customHeight="1" x14ac:dyDescent="0.25">
      <c r="A41" t="s">
        <v>9</v>
      </c>
      <c r="B41" s="2">
        <v>921494</v>
      </c>
      <c r="C41" t="s">
        <v>109</v>
      </c>
      <c r="D41" s="1" t="s">
        <v>89</v>
      </c>
      <c r="E41" t="b">
        <v>1</v>
      </c>
      <c r="F41" s="5">
        <v>107600</v>
      </c>
      <c r="G41" t="s">
        <v>110</v>
      </c>
      <c r="H41" t="s">
        <v>111</v>
      </c>
      <c r="I41" t="s">
        <v>112</v>
      </c>
      <c r="J41" s="21" t="s">
        <v>1490</v>
      </c>
      <c r="K41" t="s">
        <v>1576</v>
      </c>
      <c r="L41" s="12" t="b">
        <f t="shared" si="0"/>
        <v>1</v>
      </c>
      <c r="M41" s="10" t="b">
        <v>1</v>
      </c>
      <c r="N41" s="10" t="b">
        <v>1</v>
      </c>
      <c r="O41" s="10" t="b">
        <v>1</v>
      </c>
    </row>
    <row r="42" spans="1:15" ht="30" customHeight="1" x14ac:dyDescent="0.25">
      <c r="A42" t="s">
        <v>9</v>
      </c>
      <c r="B42" s="2">
        <v>947244</v>
      </c>
      <c r="C42" t="s">
        <v>225</v>
      </c>
      <c r="D42" s="1" t="s">
        <v>221</v>
      </c>
      <c r="E42" t="b">
        <v>0</v>
      </c>
      <c r="F42" s="5">
        <v>8600</v>
      </c>
      <c r="G42" t="s">
        <v>226</v>
      </c>
      <c r="H42" t="s">
        <v>227</v>
      </c>
      <c r="I42" t="s">
        <v>228</v>
      </c>
      <c r="J42" s="21" t="s">
        <v>1495</v>
      </c>
      <c r="K42" t="s">
        <v>1576</v>
      </c>
      <c r="L42" s="12" t="b">
        <f t="shared" si="0"/>
        <v>1</v>
      </c>
      <c r="M42" s="10" t="b">
        <v>1</v>
      </c>
      <c r="N42" s="10" t="b">
        <v>1</v>
      </c>
      <c r="O42" s="10" t="b">
        <v>1</v>
      </c>
    </row>
    <row r="43" spans="1:15" ht="30" customHeight="1" x14ac:dyDescent="0.25">
      <c r="A43" t="s">
        <v>9</v>
      </c>
      <c r="B43" s="2">
        <v>494271</v>
      </c>
      <c r="C43" t="s">
        <v>176</v>
      </c>
      <c r="D43" s="1" t="s">
        <v>160</v>
      </c>
      <c r="E43" t="b">
        <v>1</v>
      </c>
      <c r="F43" s="5">
        <v>132400</v>
      </c>
      <c r="G43" t="s">
        <v>177</v>
      </c>
      <c r="H43" t="s">
        <v>178</v>
      </c>
      <c r="I43" t="s">
        <v>179</v>
      </c>
      <c r="J43" s="21" t="s">
        <v>1557</v>
      </c>
      <c r="K43" t="s">
        <v>1576</v>
      </c>
      <c r="L43" s="12" t="b">
        <f t="shared" si="0"/>
        <v>1</v>
      </c>
      <c r="M43" s="10" t="b">
        <v>1</v>
      </c>
      <c r="N43" s="10" t="b">
        <v>1</v>
      </c>
      <c r="O43" s="10" t="b">
        <v>1</v>
      </c>
    </row>
    <row r="44" spans="1:15" ht="30" customHeight="1" x14ac:dyDescent="0.25">
      <c r="A44" t="s">
        <v>9</v>
      </c>
      <c r="B44" s="2">
        <v>508260</v>
      </c>
      <c r="C44" t="s">
        <v>193</v>
      </c>
      <c r="D44" s="1" t="s">
        <v>185</v>
      </c>
      <c r="E44" t="b">
        <v>1</v>
      </c>
      <c r="F44" s="5">
        <v>415800</v>
      </c>
      <c r="G44" t="s">
        <v>194</v>
      </c>
      <c r="H44" t="s">
        <v>195</v>
      </c>
      <c r="I44" t="s">
        <v>196</v>
      </c>
      <c r="J44" s="21" t="s">
        <v>1490</v>
      </c>
      <c r="K44" t="s">
        <v>1576</v>
      </c>
      <c r="L44" s="12" t="b">
        <f t="shared" si="0"/>
        <v>1</v>
      </c>
      <c r="M44" s="10" t="b">
        <v>1</v>
      </c>
      <c r="N44" s="10" t="b">
        <v>1</v>
      </c>
      <c r="O44" s="10" t="b">
        <v>1</v>
      </c>
    </row>
    <row r="45" spans="1:15" ht="30" customHeight="1" x14ac:dyDescent="0.25">
      <c r="A45" t="s">
        <v>9</v>
      </c>
      <c r="B45" s="2">
        <v>974302</v>
      </c>
      <c r="C45" t="s">
        <v>84</v>
      </c>
      <c r="D45" s="1" t="s">
        <v>61</v>
      </c>
      <c r="E45" t="b">
        <v>1</v>
      </c>
      <c r="F45" s="5">
        <v>204600</v>
      </c>
      <c r="G45" t="s">
        <v>85</v>
      </c>
      <c r="H45" t="s">
        <v>86</v>
      </c>
      <c r="I45" t="s">
        <v>87</v>
      </c>
      <c r="J45" s="21" t="s">
        <v>1545</v>
      </c>
      <c r="K45" t="s">
        <v>1576</v>
      </c>
      <c r="L45" s="12" t="b">
        <f t="shared" si="0"/>
        <v>1</v>
      </c>
      <c r="M45" s="10" t="b">
        <v>1</v>
      </c>
      <c r="N45" s="10" t="b">
        <v>1</v>
      </c>
      <c r="O45" s="10" t="b">
        <v>1</v>
      </c>
    </row>
    <row r="46" spans="1:15" ht="30" customHeight="1" x14ac:dyDescent="0.25">
      <c r="A46" t="s">
        <v>9</v>
      </c>
      <c r="B46" s="2">
        <v>279027</v>
      </c>
      <c r="C46" t="s">
        <v>151</v>
      </c>
      <c r="D46" s="1" t="s">
        <v>143</v>
      </c>
      <c r="E46" t="b">
        <v>1</v>
      </c>
      <c r="F46" s="5">
        <v>20200</v>
      </c>
      <c r="G46" t="s">
        <v>152</v>
      </c>
      <c r="H46" t="s">
        <v>153</v>
      </c>
      <c r="I46" t="s">
        <v>154</v>
      </c>
      <c r="J46" s="21" t="s">
        <v>1557</v>
      </c>
      <c r="K46" t="s">
        <v>1576</v>
      </c>
      <c r="L46" s="12" t="b">
        <f t="shared" si="0"/>
        <v>1</v>
      </c>
      <c r="M46" s="10" t="b">
        <v>1</v>
      </c>
      <c r="N46" s="10" t="b">
        <v>1</v>
      </c>
      <c r="O46" s="10" t="b">
        <v>1</v>
      </c>
    </row>
    <row r="47" spans="1:15" ht="30" customHeight="1" x14ac:dyDescent="0.25">
      <c r="A47" t="s">
        <v>9</v>
      </c>
      <c r="B47" s="2">
        <v>261365</v>
      </c>
      <c r="C47" t="s">
        <v>155</v>
      </c>
      <c r="D47" s="1" t="s">
        <v>143</v>
      </c>
      <c r="E47" t="b">
        <v>1</v>
      </c>
      <c r="F47" s="5">
        <v>255700</v>
      </c>
      <c r="G47" t="s">
        <v>156</v>
      </c>
      <c r="H47" t="s">
        <v>157</v>
      </c>
      <c r="I47" t="s">
        <v>158</v>
      </c>
      <c r="J47" s="21" t="s">
        <v>1508</v>
      </c>
      <c r="K47" t="s">
        <v>1576</v>
      </c>
      <c r="L47" s="12" t="b">
        <f t="shared" si="0"/>
        <v>1</v>
      </c>
      <c r="M47" s="10" t="b">
        <v>1</v>
      </c>
      <c r="N47" s="10" t="b">
        <v>1</v>
      </c>
      <c r="O47" s="10" t="b">
        <v>1</v>
      </c>
    </row>
    <row r="48" spans="1:15" ht="30" customHeight="1" x14ac:dyDescent="0.25">
      <c r="A48" t="s">
        <v>9</v>
      </c>
      <c r="B48" s="2">
        <v>753622</v>
      </c>
      <c r="C48" t="s">
        <v>197</v>
      </c>
      <c r="D48" s="1" t="s">
        <v>185</v>
      </c>
      <c r="E48" t="b">
        <v>1</v>
      </c>
      <c r="F48" s="5">
        <v>497400</v>
      </c>
      <c r="G48" t="s">
        <v>198</v>
      </c>
      <c r="H48" t="s">
        <v>199</v>
      </c>
      <c r="I48" t="s">
        <v>200</v>
      </c>
      <c r="J48" s="21" t="s">
        <v>1560</v>
      </c>
      <c r="K48" t="s">
        <v>1488</v>
      </c>
      <c r="L48" s="12" t="str">
        <f t="shared" si="0"/>
        <v>RECEIVED</v>
      </c>
      <c r="M48" s="10" t="b">
        <v>0</v>
      </c>
      <c r="N48" s="10" t="b">
        <v>1</v>
      </c>
      <c r="O48" s="10" t="b">
        <v>1</v>
      </c>
    </row>
    <row r="49" spans="1:15" ht="30" customHeight="1" x14ac:dyDescent="0.25">
      <c r="A49" t="s">
        <v>9</v>
      </c>
      <c r="B49" s="2">
        <v>573768</v>
      </c>
      <c r="C49" t="s">
        <v>23</v>
      </c>
      <c r="D49" s="1" t="s">
        <v>11</v>
      </c>
      <c r="E49" t="b">
        <v>1</v>
      </c>
      <c r="F49" s="5">
        <v>133100</v>
      </c>
      <c r="G49" t="s">
        <v>24</v>
      </c>
      <c r="H49" t="s">
        <v>25</v>
      </c>
      <c r="I49" t="s">
        <v>26</v>
      </c>
      <c r="J49" s="21" t="s">
        <v>1593</v>
      </c>
      <c r="K49" t="s">
        <v>1577</v>
      </c>
      <c r="L49" s="12" t="b">
        <f t="shared" si="0"/>
        <v>0</v>
      </c>
      <c r="M49" s="10" t="b">
        <v>0</v>
      </c>
      <c r="N49" s="10" t="b">
        <v>0</v>
      </c>
      <c r="O49" s="10" t="b">
        <v>0</v>
      </c>
    </row>
    <row r="50" spans="1:15" ht="30" customHeight="1" x14ac:dyDescent="0.25">
      <c r="A50" t="s">
        <v>9</v>
      </c>
      <c r="B50" s="2">
        <v>771982</v>
      </c>
      <c r="C50" t="s">
        <v>40</v>
      </c>
      <c r="D50" s="1" t="s">
        <v>28</v>
      </c>
      <c r="E50" t="b">
        <v>1</v>
      </c>
      <c r="F50" s="5">
        <v>324800</v>
      </c>
      <c r="G50" t="s">
        <v>41</v>
      </c>
      <c r="H50" t="s">
        <v>42</v>
      </c>
      <c r="I50" t="s">
        <v>43</v>
      </c>
      <c r="J50" s="21" t="s">
        <v>1531</v>
      </c>
      <c r="K50" t="s">
        <v>1576</v>
      </c>
      <c r="L50" s="12" t="b">
        <f t="shared" si="0"/>
        <v>1</v>
      </c>
      <c r="M50" s="10" t="b">
        <v>1</v>
      </c>
      <c r="N50" s="10" t="b">
        <v>1</v>
      </c>
      <c r="O50" s="10" t="b">
        <v>1</v>
      </c>
    </row>
    <row r="51" spans="1:15" ht="30" customHeight="1" x14ac:dyDescent="0.25">
      <c r="A51" t="s">
        <v>9</v>
      </c>
      <c r="B51" s="2">
        <v>121464</v>
      </c>
      <c r="C51" t="s">
        <v>138</v>
      </c>
      <c r="D51" s="1" t="s">
        <v>118</v>
      </c>
      <c r="E51" t="b">
        <v>1</v>
      </c>
      <c r="F51" s="5">
        <v>432000</v>
      </c>
      <c r="G51" t="s">
        <v>139</v>
      </c>
      <c r="H51" t="s">
        <v>140</v>
      </c>
      <c r="I51" t="s">
        <v>141</v>
      </c>
      <c r="J51" s="21" t="s">
        <v>1594</v>
      </c>
      <c r="K51" t="s">
        <v>1576</v>
      </c>
      <c r="L51" s="12" t="b">
        <f t="shared" si="0"/>
        <v>1</v>
      </c>
      <c r="M51" s="10" t="b">
        <v>1</v>
      </c>
      <c r="N51" s="10" t="b">
        <v>1</v>
      </c>
      <c r="O51" s="10" t="b">
        <v>1</v>
      </c>
    </row>
    <row r="52" spans="1:15" ht="30" customHeight="1" x14ac:dyDescent="0.25">
      <c r="A52" t="s">
        <v>9</v>
      </c>
      <c r="B52" s="2">
        <v>296292</v>
      </c>
      <c r="C52" t="s">
        <v>180</v>
      </c>
      <c r="D52" s="1" t="s">
        <v>160</v>
      </c>
      <c r="E52" t="b">
        <v>1</v>
      </c>
      <c r="F52" s="5">
        <v>201200</v>
      </c>
      <c r="G52" t="s">
        <v>181</v>
      </c>
      <c r="H52" t="s">
        <v>182</v>
      </c>
      <c r="I52" t="s">
        <v>183</v>
      </c>
      <c r="J52" s="21" t="s">
        <v>1541</v>
      </c>
      <c r="K52" t="s">
        <v>1576</v>
      </c>
      <c r="L52" s="12" t="b">
        <f t="shared" si="0"/>
        <v>1</v>
      </c>
      <c r="M52" s="10" t="b">
        <v>1</v>
      </c>
      <c r="N52" s="10" t="b">
        <v>1</v>
      </c>
      <c r="O52" s="10" t="b">
        <v>1</v>
      </c>
    </row>
    <row r="53" spans="1:15" ht="30" customHeight="1" x14ac:dyDescent="0.25">
      <c r="A53" t="s">
        <v>9</v>
      </c>
      <c r="B53" s="2">
        <v>535932</v>
      </c>
      <c r="C53" t="s">
        <v>44</v>
      </c>
      <c r="D53" s="1" t="s">
        <v>28</v>
      </c>
      <c r="E53" t="b">
        <v>1</v>
      </c>
      <c r="F53" s="5">
        <v>31500</v>
      </c>
      <c r="G53" t="s">
        <v>45</v>
      </c>
      <c r="H53" t="s">
        <v>46</v>
      </c>
      <c r="I53" t="s">
        <v>47</v>
      </c>
      <c r="J53" s="21" t="s">
        <v>1595</v>
      </c>
      <c r="K53" t="s">
        <v>1577</v>
      </c>
      <c r="L53" s="12" t="b">
        <f t="shared" si="0"/>
        <v>0</v>
      </c>
      <c r="M53" s="10" t="b">
        <v>0</v>
      </c>
      <c r="N53" s="10" t="b">
        <v>0</v>
      </c>
      <c r="O53" s="10" t="b">
        <v>0</v>
      </c>
    </row>
    <row r="54" spans="1:15" ht="30" customHeight="1" x14ac:dyDescent="0.25">
      <c r="A54" t="s">
        <v>9</v>
      </c>
      <c r="B54" s="2">
        <v>605468</v>
      </c>
      <c r="C54" t="s">
        <v>48</v>
      </c>
      <c r="D54" s="1" t="s">
        <v>28</v>
      </c>
      <c r="E54" t="b">
        <v>1</v>
      </c>
      <c r="F54" s="5">
        <v>51600</v>
      </c>
      <c r="G54" t="s">
        <v>49</v>
      </c>
      <c r="H54" t="s">
        <v>50</v>
      </c>
      <c r="I54" t="s">
        <v>51</v>
      </c>
      <c r="J54" s="21" t="s">
        <v>1526</v>
      </c>
      <c r="K54" t="s">
        <v>1488</v>
      </c>
      <c r="L54" s="12" t="str">
        <f t="shared" si="0"/>
        <v>RECEIVED</v>
      </c>
      <c r="M54" s="10" t="b">
        <v>0</v>
      </c>
      <c r="N54" s="10" t="b">
        <v>0</v>
      </c>
      <c r="O54" s="10" t="b">
        <v>1</v>
      </c>
    </row>
    <row r="55" spans="1:15" ht="30" customHeight="1" x14ac:dyDescent="0.25">
      <c r="A55" t="s">
        <v>9</v>
      </c>
      <c r="B55" s="2">
        <v>566178</v>
      </c>
      <c r="C55" t="s">
        <v>52</v>
      </c>
      <c r="D55" s="1" t="s">
        <v>28</v>
      </c>
      <c r="E55" t="b">
        <v>1</v>
      </c>
      <c r="F55" s="5">
        <v>26800</v>
      </c>
      <c r="G55" t="s">
        <v>53</v>
      </c>
      <c r="H55" t="s">
        <v>54</v>
      </c>
      <c r="I55" t="s">
        <v>55</v>
      </c>
      <c r="J55" s="21" t="s">
        <v>1596</v>
      </c>
      <c r="K55" t="s">
        <v>1577</v>
      </c>
      <c r="L55" s="12" t="b">
        <f t="shared" si="0"/>
        <v>0</v>
      </c>
      <c r="M55" s="10" t="b">
        <v>0</v>
      </c>
      <c r="N55" s="10" t="b">
        <v>0</v>
      </c>
      <c r="O55" s="10" t="b">
        <v>0</v>
      </c>
    </row>
    <row r="56" spans="1:15" ht="30" customHeight="1" x14ac:dyDescent="0.25">
      <c r="A56" t="s">
        <v>9</v>
      </c>
      <c r="B56" s="2">
        <v>197642</v>
      </c>
      <c r="C56" t="s">
        <v>113</v>
      </c>
      <c r="D56" s="1" t="s">
        <v>89</v>
      </c>
      <c r="E56" t="b">
        <v>1</v>
      </c>
      <c r="F56" s="5">
        <v>150400</v>
      </c>
      <c r="G56" t="s">
        <v>114</v>
      </c>
      <c r="H56" t="s">
        <v>115</v>
      </c>
      <c r="I56" t="s">
        <v>116</v>
      </c>
      <c r="J56" s="21" t="s">
        <v>1597</v>
      </c>
      <c r="K56" t="s">
        <v>1488</v>
      </c>
      <c r="L56" s="12" t="str">
        <f t="shared" si="0"/>
        <v>RECEIVED</v>
      </c>
      <c r="M56" s="10" t="b">
        <v>0</v>
      </c>
      <c r="N56" s="10" t="b">
        <v>1</v>
      </c>
      <c r="O56" s="10" t="b">
        <v>1</v>
      </c>
    </row>
    <row r="57" spans="1:15" ht="30" customHeight="1" x14ac:dyDescent="0.25">
      <c r="A57" t="s">
        <v>9</v>
      </c>
      <c r="B57" s="2">
        <v>974045</v>
      </c>
      <c r="C57" t="s">
        <v>56</v>
      </c>
      <c r="D57" s="1" t="s">
        <v>28</v>
      </c>
      <c r="E57" t="b">
        <v>1</v>
      </c>
      <c r="F57" s="5">
        <v>363100</v>
      </c>
      <c r="G57" t="s">
        <v>57</v>
      </c>
      <c r="H57" t="s">
        <v>58</v>
      </c>
      <c r="I57" t="s">
        <v>59</v>
      </c>
      <c r="J57" s="21" t="s">
        <v>1598</v>
      </c>
      <c r="K57" t="s">
        <v>1576</v>
      </c>
      <c r="L57" s="12" t="b">
        <f t="shared" si="0"/>
        <v>1</v>
      </c>
      <c r="M57" s="10" t="b">
        <v>1</v>
      </c>
      <c r="N57" s="10" t="b">
        <v>1</v>
      </c>
      <c r="O57" s="10" t="b">
        <v>1</v>
      </c>
    </row>
    <row r="58" spans="1:15" ht="30" customHeight="1" x14ac:dyDescent="0.25">
      <c r="A58" t="s">
        <v>9</v>
      </c>
      <c r="B58" s="2">
        <v>291314</v>
      </c>
      <c r="C58" t="s">
        <v>201</v>
      </c>
      <c r="D58" s="1" t="s">
        <v>185</v>
      </c>
      <c r="E58" t="b">
        <v>1</v>
      </c>
      <c r="F58" s="5">
        <v>624600</v>
      </c>
      <c r="G58" t="s">
        <v>202</v>
      </c>
      <c r="H58" t="s">
        <v>203</v>
      </c>
      <c r="I58" t="s">
        <v>204</v>
      </c>
      <c r="J58" s="21" t="s">
        <v>1512</v>
      </c>
      <c r="K58" t="s">
        <v>1576</v>
      </c>
      <c r="L58" s="12" t="b">
        <f t="shared" si="0"/>
        <v>1</v>
      </c>
      <c r="M58" s="10" t="b">
        <v>1</v>
      </c>
      <c r="N58" s="10" t="b">
        <v>1</v>
      </c>
      <c r="O58" s="10" t="b">
        <v>1</v>
      </c>
    </row>
  </sheetData>
  <conditionalFormatting sqref="L6:L58">
    <cfRule type="containsText" dxfId="14" priority="1" operator="containsText" text="RECEIVED">
      <formula>NOT(ISERROR(SEARCH("RECEIVED",L6)))</formula>
    </cfRule>
    <cfRule type="containsText" dxfId="13" priority="4" operator="containsText" text="TRUE">
      <formula>NOT(ISERROR(SEARCH("TRUE",L6)))</formula>
    </cfRule>
    <cfRule type="containsText" dxfId="12" priority="5" operator="containsText" text="TRUE">
      <formula>NOT(ISERROR(SEARCH("TRUE",L6)))</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D2DE7-A731-44F6-B7FC-117D11469E65}">
  <sheetPr>
    <tabColor theme="6" tint="-0.249977111117893"/>
  </sheetPr>
  <dimension ref="A1:O58"/>
  <sheetViews>
    <sheetView zoomScale="80" zoomScaleNormal="80" workbookViewId="0">
      <selection activeCell="D1" sqref="D1"/>
    </sheetView>
  </sheetViews>
  <sheetFormatPr defaultRowHeight="15" x14ac:dyDescent="0.25"/>
  <cols>
    <col min="1" max="1" width="14.140625" bestFit="1" customWidth="1"/>
    <col min="2" max="2" width="13.7109375" customWidth="1"/>
    <col min="3" max="3" width="35" bestFit="1" customWidth="1"/>
    <col min="4" max="4" width="31" customWidth="1"/>
    <col min="5" max="5" width="9.28515625" customWidth="1"/>
    <col min="6" max="6" width="15.42578125" customWidth="1"/>
    <col min="7" max="7" width="17.85546875" bestFit="1" customWidth="1"/>
    <col min="8" max="8" width="16" customWidth="1"/>
    <col min="9" max="9" width="34.85546875" bestFit="1" customWidth="1"/>
    <col min="10" max="10" width="35.7109375" customWidth="1"/>
    <col min="11" max="11" width="20.7109375" customWidth="1"/>
    <col min="12" max="12" width="18" customWidth="1"/>
    <col min="13" max="15" width="12.7109375" customWidth="1"/>
  </cols>
  <sheetData>
    <row r="1" spans="1:15" ht="15.75" x14ac:dyDescent="0.25">
      <c r="A1" s="61" t="s">
        <v>1479</v>
      </c>
      <c r="B1" s="62"/>
      <c r="C1" s="62"/>
    </row>
    <row r="2" spans="1:15" ht="15.75" x14ac:dyDescent="0.25">
      <c r="A2" s="61" t="s">
        <v>1669</v>
      </c>
      <c r="B2" s="62"/>
      <c r="C2" s="62"/>
    </row>
    <row r="5" spans="1:15" ht="30" customHeight="1" x14ac:dyDescent="0.25">
      <c r="A5" s="17" t="s">
        <v>0</v>
      </c>
      <c r="B5" s="17" t="s">
        <v>1</v>
      </c>
      <c r="C5" s="17" t="s">
        <v>2</v>
      </c>
      <c r="D5" s="17" t="s">
        <v>3</v>
      </c>
      <c r="E5" s="17" t="s">
        <v>4</v>
      </c>
      <c r="F5" s="17" t="s">
        <v>5</v>
      </c>
      <c r="G5" s="17" t="s">
        <v>6</v>
      </c>
      <c r="H5" s="17" t="s">
        <v>7</v>
      </c>
      <c r="I5" s="17" t="s">
        <v>8</v>
      </c>
      <c r="J5" s="17" t="s">
        <v>1468</v>
      </c>
      <c r="K5" s="17" t="s">
        <v>1469</v>
      </c>
      <c r="L5" s="17" t="s">
        <v>1470</v>
      </c>
      <c r="M5" s="17" t="s">
        <v>1471</v>
      </c>
      <c r="N5" s="17" t="s">
        <v>1473</v>
      </c>
      <c r="O5" s="17" t="s">
        <v>1472</v>
      </c>
    </row>
    <row r="6" spans="1:15" ht="30" customHeight="1" x14ac:dyDescent="0.25">
      <c r="A6" t="s">
        <v>234</v>
      </c>
      <c r="B6" s="2">
        <v>224906</v>
      </c>
      <c r="C6" t="s">
        <v>306</v>
      </c>
      <c r="D6" s="1" t="s">
        <v>89</v>
      </c>
      <c r="E6" t="b">
        <v>1</v>
      </c>
      <c r="F6" s="5">
        <v>176800</v>
      </c>
      <c r="G6" t="s">
        <v>307</v>
      </c>
      <c r="H6" t="s">
        <v>308</v>
      </c>
      <c r="I6" t="s">
        <v>309</v>
      </c>
      <c r="J6" s="21" t="s">
        <v>1540</v>
      </c>
      <c r="K6" t="str">
        <f>VLOOKUP(Table12[[#This Row],[Company ID]],'[1]Coordinator Notes'!$B:$D,3,FALSE)</f>
        <v>Completion</v>
      </c>
      <c r="L6" s="12" t="b">
        <f t="shared" ref="L6:L37" si="0">IF(COUNTIF(M6:O6,TRUE)=3,TRUE,IF(COUNTIF(M6:O6,TRUE)&gt;=1,"RECEIVED",FALSE))</f>
        <v>1</v>
      </c>
      <c r="M6" s="10" t="b">
        <v>1</v>
      </c>
      <c r="N6" s="10" t="b">
        <v>1</v>
      </c>
      <c r="O6" s="10" t="b">
        <v>1</v>
      </c>
    </row>
    <row r="7" spans="1:15" ht="30" customHeight="1" x14ac:dyDescent="0.25">
      <c r="A7" t="s">
        <v>234</v>
      </c>
      <c r="B7" s="2">
        <v>435003</v>
      </c>
      <c r="C7" t="s">
        <v>310</v>
      </c>
      <c r="D7" s="1" t="s">
        <v>89</v>
      </c>
      <c r="E7" t="b">
        <v>1</v>
      </c>
      <c r="F7" s="5">
        <v>279300</v>
      </c>
      <c r="G7" t="s">
        <v>311</v>
      </c>
      <c r="H7" t="s">
        <v>312</v>
      </c>
      <c r="I7" t="s">
        <v>313</v>
      </c>
      <c r="J7" s="21" t="s">
        <v>1541</v>
      </c>
      <c r="K7" t="str">
        <f>VLOOKUP(Table12[[#This Row],[Company ID]],'[1]Coordinator Notes'!$B:$D,3,FALSE)</f>
        <v>Completion</v>
      </c>
      <c r="L7" s="12" t="b">
        <f t="shared" si="0"/>
        <v>1</v>
      </c>
      <c r="M7" s="10" t="b">
        <v>1</v>
      </c>
      <c r="N7" s="10" t="b">
        <v>1</v>
      </c>
      <c r="O7" s="10" t="b">
        <v>1</v>
      </c>
    </row>
    <row r="8" spans="1:15" ht="30" customHeight="1" x14ac:dyDescent="0.25">
      <c r="A8" t="s">
        <v>234</v>
      </c>
      <c r="B8" s="2">
        <v>751673</v>
      </c>
      <c r="C8" t="s">
        <v>370</v>
      </c>
      <c r="D8" s="1" t="s">
        <v>160</v>
      </c>
      <c r="E8" t="b">
        <v>1</v>
      </c>
      <c r="F8" s="5">
        <v>244500</v>
      </c>
      <c r="G8" t="s">
        <v>371</v>
      </c>
      <c r="H8" t="s">
        <v>372</v>
      </c>
      <c r="I8" t="s">
        <v>373</v>
      </c>
      <c r="J8" s="21" t="s">
        <v>1524</v>
      </c>
      <c r="K8" t="str">
        <f>VLOOKUP(Table12[[#This Row],[Company ID]],'[1]Coordinator Notes'!$B:$D,3,FALSE)</f>
        <v>Completion</v>
      </c>
      <c r="L8" s="12" t="b">
        <f t="shared" si="0"/>
        <v>1</v>
      </c>
      <c r="M8" s="10" t="b">
        <v>1</v>
      </c>
      <c r="N8" s="10" t="b">
        <v>1</v>
      </c>
      <c r="O8" s="10" t="b">
        <v>1</v>
      </c>
    </row>
    <row r="9" spans="1:15" ht="30" customHeight="1" x14ac:dyDescent="0.25">
      <c r="A9" t="s">
        <v>234</v>
      </c>
      <c r="B9" s="2">
        <v>683594</v>
      </c>
      <c r="C9" t="s">
        <v>243</v>
      </c>
      <c r="D9" s="1" t="s">
        <v>28</v>
      </c>
      <c r="E9" t="b">
        <v>1</v>
      </c>
      <c r="F9" s="5">
        <v>32700</v>
      </c>
      <c r="G9" t="s">
        <v>244</v>
      </c>
      <c r="H9" t="s">
        <v>245</v>
      </c>
      <c r="I9" t="s">
        <v>246</v>
      </c>
      <c r="J9" s="21" t="s">
        <v>1542</v>
      </c>
      <c r="K9" t="str">
        <f>VLOOKUP(Table12[[#This Row],[Company ID]],'[1]Coordinator Notes'!$B:$D,3,FALSE)</f>
        <v>Delayed</v>
      </c>
      <c r="L9" s="12" t="str">
        <f t="shared" si="0"/>
        <v>RECEIVED</v>
      </c>
      <c r="M9" s="10" t="b">
        <v>1</v>
      </c>
      <c r="N9" s="10" t="b">
        <v>0</v>
      </c>
      <c r="O9" s="10" t="b">
        <v>0</v>
      </c>
    </row>
    <row r="10" spans="1:15" ht="30" customHeight="1" x14ac:dyDescent="0.25">
      <c r="A10" t="s">
        <v>234</v>
      </c>
      <c r="B10" s="2">
        <v>866025</v>
      </c>
      <c r="C10" t="s">
        <v>431</v>
      </c>
      <c r="D10" s="1" t="s">
        <v>432</v>
      </c>
      <c r="E10" t="b">
        <v>0</v>
      </c>
      <c r="F10" s="5">
        <v>109800</v>
      </c>
      <c r="G10" t="s">
        <v>433</v>
      </c>
      <c r="H10" t="s">
        <v>434</v>
      </c>
      <c r="I10" t="s">
        <v>435</v>
      </c>
      <c r="J10" s="21" t="s">
        <v>1543</v>
      </c>
      <c r="K10" t="str">
        <f>VLOOKUP(Table12[[#This Row],[Company ID]],'[1]Coordinator Notes'!$B:$D,3,FALSE)</f>
        <v>Completion</v>
      </c>
      <c r="L10" s="12" t="b">
        <f t="shared" si="0"/>
        <v>1</v>
      </c>
      <c r="M10" s="10" t="b">
        <v>1</v>
      </c>
      <c r="N10" s="10" t="b">
        <v>1</v>
      </c>
      <c r="O10" s="10" t="b">
        <v>1</v>
      </c>
    </row>
    <row r="11" spans="1:15" ht="30" customHeight="1" x14ac:dyDescent="0.25">
      <c r="A11" t="s">
        <v>234</v>
      </c>
      <c r="B11" s="2">
        <v>562521</v>
      </c>
      <c r="C11" t="s">
        <v>322</v>
      </c>
      <c r="D11" s="1" t="s">
        <v>118</v>
      </c>
      <c r="E11" t="b">
        <v>1</v>
      </c>
      <c r="F11" s="5">
        <v>48100</v>
      </c>
      <c r="G11" t="s">
        <v>323</v>
      </c>
      <c r="H11" t="s">
        <v>324</v>
      </c>
      <c r="I11" t="s">
        <v>325</v>
      </c>
      <c r="J11" s="21" t="s">
        <v>1544</v>
      </c>
      <c r="K11" t="str">
        <f>VLOOKUP(Table12[[#This Row],[Company ID]],'[1]Coordinator Notes'!$B:$D,3,FALSE)</f>
        <v>Delayed</v>
      </c>
      <c r="L11" s="12" t="b">
        <f t="shared" si="0"/>
        <v>0</v>
      </c>
      <c r="M11" s="10" t="b">
        <v>0</v>
      </c>
      <c r="N11" s="10" t="b">
        <v>0</v>
      </c>
      <c r="O11" s="10" t="b">
        <v>0</v>
      </c>
    </row>
    <row r="12" spans="1:15" ht="30" customHeight="1" x14ac:dyDescent="0.25">
      <c r="A12" t="s">
        <v>234</v>
      </c>
      <c r="B12" s="2">
        <v>954340</v>
      </c>
      <c r="C12" t="s">
        <v>350</v>
      </c>
      <c r="D12" s="1" t="s">
        <v>143</v>
      </c>
      <c r="E12" t="b">
        <v>1</v>
      </c>
      <c r="F12" s="5">
        <v>149800</v>
      </c>
      <c r="G12" t="s">
        <v>351</v>
      </c>
      <c r="H12" t="s">
        <v>352</v>
      </c>
      <c r="I12" t="s">
        <v>353</v>
      </c>
      <c r="J12" s="21" t="s">
        <v>1511</v>
      </c>
      <c r="K12" t="str">
        <f>VLOOKUP(Table12[[#This Row],[Company ID]],'[1]Coordinator Notes'!$B:$D,3,FALSE)</f>
        <v>Completion</v>
      </c>
      <c r="L12" s="12" t="b">
        <f t="shared" si="0"/>
        <v>1</v>
      </c>
      <c r="M12" s="10" t="b">
        <v>1</v>
      </c>
      <c r="N12" s="10" t="b">
        <v>1</v>
      </c>
      <c r="O12" s="10" t="b">
        <v>1</v>
      </c>
    </row>
    <row r="13" spans="1:15" ht="30" customHeight="1" x14ac:dyDescent="0.25">
      <c r="A13" t="s">
        <v>234</v>
      </c>
      <c r="B13" s="2">
        <v>429497</v>
      </c>
      <c r="C13" t="s">
        <v>445</v>
      </c>
      <c r="D13" s="1" t="s">
        <v>446</v>
      </c>
      <c r="E13" t="b">
        <v>0</v>
      </c>
      <c r="F13" s="5">
        <v>22700</v>
      </c>
      <c r="G13" t="s">
        <v>74</v>
      </c>
      <c r="H13" t="s">
        <v>447</v>
      </c>
      <c r="I13" t="s">
        <v>448</v>
      </c>
      <c r="J13" s="21" t="s">
        <v>1541</v>
      </c>
      <c r="K13" t="str">
        <f>VLOOKUP(Table12[[#This Row],[Company ID]],'[1]Coordinator Notes'!$B:$D,3,FALSE)</f>
        <v>Completion</v>
      </c>
      <c r="L13" s="12" t="b">
        <f t="shared" si="0"/>
        <v>1</v>
      </c>
      <c r="M13" s="10" t="b">
        <v>1</v>
      </c>
      <c r="N13" s="10" t="b">
        <v>1</v>
      </c>
      <c r="O13" s="10" t="b">
        <v>1</v>
      </c>
    </row>
    <row r="14" spans="1:15" ht="30" customHeight="1" x14ac:dyDescent="0.25">
      <c r="A14" t="s">
        <v>234</v>
      </c>
      <c r="B14" s="2">
        <v>768695</v>
      </c>
      <c r="C14" t="s">
        <v>235</v>
      </c>
      <c r="D14" s="1" t="s">
        <v>11</v>
      </c>
      <c r="E14" t="b">
        <v>1</v>
      </c>
      <c r="F14" s="5">
        <v>138400</v>
      </c>
      <c r="G14" t="s">
        <v>236</v>
      </c>
      <c r="H14" t="s">
        <v>237</v>
      </c>
      <c r="I14" t="s">
        <v>238</v>
      </c>
      <c r="J14" s="21" t="s">
        <v>1545</v>
      </c>
      <c r="K14" t="str">
        <f>VLOOKUP(Table12[[#This Row],[Company ID]],'[1]Coordinator Notes'!$B:$D,3,FALSE)</f>
        <v>Completion</v>
      </c>
      <c r="L14" s="12" t="b">
        <f t="shared" si="0"/>
        <v>1</v>
      </c>
      <c r="M14" s="10" t="b">
        <v>1</v>
      </c>
      <c r="N14" s="10" t="b">
        <v>1</v>
      </c>
      <c r="O14" s="10" t="b">
        <v>1</v>
      </c>
    </row>
    <row r="15" spans="1:15" ht="30" customHeight="1" x14ac:dyDescent="0.25">
      <c r="A15" t="s">
        <v>234</v>
      </c>
      <c r="B15" s="2">
        <v>180027</v>
      </c>
      <c r="C15" t="s">
        <v>394</v>
      </c>
      <c r="D15" s="1" t="s">
        <v>185</v>
      </c>
      <c r="E15" t="b">
        <v>1</v>
      </c>
      <c r="F15" s="5">
        <v>63000</v>
      </c>
      <c r="G15" t="s">
        <v>395</v>
      </c>
      <c r="H15" t="s">
        <v>396</v>
      </c>
      <c r="I15" t="s">
        <v>397</v>
      </c>
      <c r="J15" s="21" t="s">
        <v>1546</v>
      </c>
      <c r="K15" t="str">
        <f>VLOOKUP(Table12[[#This Row],[Company ID]],'[1]Coordinator Notes'!$B:$D,3,FALSE)</f>
        <v>Completion</v>
      </c>
      <c r="L15" s="12" t="b">
        <f t="shared" si="0"/>
        <v>1</v>
      </c>
      <c r="M15" s="10" t="b">
        <v>1</v>
      </c>
      <c r="N15" s="10" t="b">
        <v>1</v>
      </c>
      <c r="O15" s="10" t="b">
        <v>1</v>
      </c>
    </row>
    <row r="16" spans="1:15" ht="30" customHeight="1" x14ac:dyDescent="0.25">
      <c r="A16" t="s">
        <v>234</v>
      </c>
      <c r="B16" s="2">
        <v>664201</v>
      </c>
      <c r="C16" t="s">
        <v>326</v>
      </c>
      <c r="D16" s="1" t="s">
        <v>118</v>
      </c>
      <c r="E16" t="b">
        <v>1</v>
      </c>
      <c r="F16" s="5">
        <v>25600</v>
      </c>
      <c r="G16" t="s">
        <v>327</v>
      </c>
      <c r="H16" t="s">
        <v>328</v>
      </c>
      <c r="I16" t="s">
        <v>329</v>
      </c>
      <c r="J16" s="21" t="s">
        <v>1547</v>
      </c>
      <c r="K16" t="str">
        <f>VLOOKUP(Table12[[#This Row],[Company ID]],'[1]Coordinator Notes'!$B:$D,3,FALSE)</f>
        <v>Completion</v>
      </c>
      <c r="L16" s="12" t="b">
        <f t="shared" si="0"/>
        <v>1</v>
      </c>
      <c r="M16" s="10" t="b">
        <v>1</v>
      </c>
      <c r="N16" s="10" t="b">
        <v>1</v>
      </c>
      <c r="O16" s="10" t="b">
        <v>1</v>
      </c>
    </row>
    <row r="17" spans="1:15" ht="30" customHeight="1" x14ac:dyDescent="0.25">
      <c r="A17" t="s">
        <v>234</v>
      </c>
      <c r="B17" s="2">
        <v>705472</v>
      </c>
      <c r="C17" t="s">
        <v>247</v>
      </c>
      <c r="D17" s="1" t="s">
        <v>28</v>
      </c>
      <c r="E17" t="b">
        <v>1</v>
      </c>
      <c r="F17" s="5">
        <v>46000</v>
      </c>
      <c r="G17" t="s">
        <v>248</v>
      </c>
      <c r="H17" t="s">
        <v>249</v>
      </c>
      <c r="I17" t="s">
        <v>250</v>
      </c>
      <c r="J17" s="21" t="s">
        <v>1524</v>
      </c>
      <c r="K17" t="str">
        <f>VLOOKUP(Table12[[#This Row],[Company ID]],'[1]Coordinator Notes'!$B:$D,3,FALSE)</f>
        <v>Completion</v>
      </c>
      <c r="L17" s="12" t="b">
        <f t="shared" si="0"/>
        <v>1</v>
      </c>
      <c r="M17" s="10" t="b">
        <v>1</v>
      </c>
      <c r="N17" s="10" t="b">
        <v>1</v>
      </c>
      <c r="O17" s="10" t="b">
        <v>1</v>
      </c>
    </row>
    <row r="18" spans="1:15" ht="30" customHeight="1" x14ac:dyDescent="0.25">
      <c r="A18" t="s">
        <v>234</v>
      </c>
      <c r="B18" s="2">
        <v>988976</v>
      </c>
      <c r="C18" t="s">
        <v>286</v>
      </c>
      <c r="D18" s="1" t="s">
        <v>61</v>
      </c>
      <c r="E18" t="b">
        <v>1</v>
      </c>
      <c r="F18" s="5">
        <v>22400</v>
      </c>
      <c r="G18" t="s">
        <v>287</v>
      </c>
      <c r="H18" t="s">
        <v>288</v>
      </c>
      <c r="I18" t="s">
        <v>289</v>
      </c>
      <c r="J18" s="21" t="s">
        <v>1548</v>
      </c>
      <c r="K18" t="str">
        <f>VLOOKUP(Table12[[#This Row],[Company ID]],'[1]Coordinator Notes'!$B:$D,3,FALSE)</f>
        <v>Delayed</v>
      </c>
      <c r="L18" s="12" t="b">
        <f t="shared" si="0"/>
        <v>0</v>
      </c>
      <c r="M18" s="10" t="b">
        <v>0</v>
      </c>
      <c r="N18" s="10" t="b">
        <v>0</v>
      </c>
      <c r="O18" s="10" t="b">
        <v>0</v>
      </c>
    </row>
    <row r="19" spans="1:15" ht="30" customHeight="1" x14ac:dyDescent="0.25">
      <c r="A19" t="s">
        <v>234</v>
      </c>
      <c r="B19" s="2">
        <v>518144</v>
      </c>
      <c r="C19" t="s">
        <v>290</v>
      </c>
      <c r="D19" s="1" t="s">
        <v>61</v>
      </c>
      <c r="E19" t="b">
        <v>1</v>
      </c>
      <c r="F19" s="5">
        <v>169700</v>
      </c>
      <c r="G19" t="s">
        <v>291</v>
      </c>
      <c r="H19" t="s">
        <v>292</v>
      </c>
      <c r="I19" t="s">
        <v>293</v>
      </c>
      <c r="J19" s="21" t="s">
        <v>1524</v>
      </c>
      <c r="K19" t="str">
        <f>VLOOKUP(Table12[[#This Row],[Company ID]],'[1]Coordinator Notes'!$B:$D,3,FALSE)</f>
        <v>Completion</v>
      </c>
      <c r="L19" s="12" t="b">
        <f t="shared" si="0"/>
        <v>1</v>
      </c>
      <c r="M19" s="10" t="b">
        <v>1</v>
      </c>
      <c r="N19" s="10" t="b">
        <v>1</v>
      </c>
      <c r="O19" s="10" t="b">
        <v>1</v>
      </c>
    </row>
    <row r="20" spans="1:15" ht="30" customHeight="1" x14ac:dyDescent="0.25">
      <c r="A20" t="s">
        <v>234</v>
      </c>
      <c r="B20" s="2">
        <v>681381</v>
      </c>
      <c r="C20" t="s">
        <v>354</v>
      </c>
      <c r="D20" s="1" t="s">
        <v>143</v>
      </c>
      <c r="E20" t="b">
        <v>1</v>
      </c>
      <c r="F20" s="5">
        <v>126900</v>
      </c>
      <c r="G20" t="s">
        <v>355</v>
      </c>
      <c r="H20" t="s">
        <v>356</v>
      </c>
      <c r="I20" t="s">
        <v>357</v>
      </c>
      <c r="J20" s="21" t="s">
        <v>1549</v>
      </c>
      <c r="K20" t="str">
        <f>VLOOKUP(Table12[[#This Row],[Company ID]],'[1]Coordinator Notes'!$B:$D,3,FALSE)</f>
        <v>Completion</v>
      </c>
      <c r="L20" s="12" t="b">
        <f t="shared" si="0"/>
        <v>1</v>
      </c>
      <c r="M20" s="10" t="b">
        <v>1</v>
      </c>
      <c r="N20" s="10" t="b">
        <v>1</v>
      </c>
      <c r="O20" s="10" t="b">
        <v>1</v>
      </c>
    </row>
    <row r="21" spans="1:15" ht="30" customHeight="1" x14ac:dyDescent="0.25">
      <c r="A21" t="s">
        <v>234</v>
      </c>
      <c r="B21" s="2">
        <v>540366</v>
      </c>
      <c r="C21" t="s">
        <v>427</v>
      </c>
      <c r="D21" s="1" t="s">
        <v>221</v>
      </c>
      <c r="E21" t="b">
        <v>0</v>
      </c>
      <c r="F21" s="5">
        <v>13900</v>
      </c>
      <c r="G21" t="s">
        <v>428</v>
      </c>
      <c r="H21" t="s">
        <v>429</v>
      </c>
      <c r="I21" t="s">
        <v>430</v>
      </c>
      <c r="J21" s="21" t="s">
        <v>1550</v>
      </c>
      <c r="K21" t="str">
        <f>VLOOKUP(Table12[[#This Row],[Company ID]],'[1]Coordinator Notes'!$B:$D,3,FALSE)</f>
        <v>Delayed</v>
      </c>
      <c r="L21" s="12" t="b">
        <f t="shared" si="0"/>
        <v>0</v>
      </c>
      <c r="M21" s="10" t="b">
        <v>0</v>
      </c>
      <c r="N21" s="10" t="b">
        <v>0</v>
      </c>
      <c r="O21" s="10" t="b">
        <v>0</v>
      </c>
    </row>
    <row r="22" spans="1:15" ht="30" customHeight="1" x14ac:dyDescent="0.25">
      <c r="A22" t="s">
        <v>234</v>
      </c>
      <c r="B22" s="2">
        <v>637866</v>
      </c>
      <c r="C22" t="s">
        <v>440</v>
      </c>
      <c r="D22" s="1" t="s">
        <v>441</v>
      </c>
      <c r="E22" t="b">
        <v>0</v>
      </c>
      <c r="F22" s="5">
        <v>5700</v>
      </c>
      <c r="G22" t="s">
        <v>442</v>
      </c>
      <c r="H22" t="s">
        <v>443</v>
      </c>
      <c r="I22" t="s">
        <v>444</v>
      </c>
      <c r="J22" s="21" t="s">
        <v>1551</v>
      </c>
      <c r="K22" t="str">
        <f>VLOOKUP(Table12[[#This Row],[Company ID]],'[1]Coordinator Notes'!$B:$D,3,FALSE)</f>
        <v>Received</v>
      </c>
      <c r="L22" s="12" t="str">
        <f t="shared" si="0"/>
        <v>RECEIVED</v>
      </c>
      <c r="M22" s="10" t="b">
        <v>1</v>
      </c>
      <c r="N22" s="10" t="b">
        <v>0</v>
      </c>
      <c r="O22" s="10" t="b">
        <v>1</v>
      </c>
    </row>
    <row r="23" spans="1:15" ht="30" customHeight="1" x14ac:dyDescent="0.25">
      <c r="A23" t="s">
        <v>234</v>
      </c>
      <c r="B23" s="2">
        <v>643148</v>
      </c>
      <c r="C23" t="s">
        <v>294</v>
      </c>
      <c r="D23" s="1" t="s">
        <v>61</v>
      </c>
      <c r="E23" t="b">
        <v>1</v>
      </c>
      <c r="F23" s="5">
        <v>169500</v>
      </c>
      <c r="G23" t="s">
        <v>295</v>
      </c>
      <c r="H23" t="s">
        <v>296</v>
      </c>
      <c r="I23" t="s">
        <v>297</v>
      </c>
      <c r="J23" s="21" t="s">
        <v>1490</v>
      </c>
      <c r="K23" t="str">
        <f>VLOOKUP(Table12[[#This Row],[Company ID]],'[1]Coordinator Notes'!$B:$D,3,FALSE)</f>
        <v>Completion</v>
      </c>
      <c r="L23" s="12" t="b">
        <f t="shared" si="0"/>
        <v>1</v>
      </c>
      <c r="M23" s="10" t="b">
        <v>1</v>
      </c>
      <c r="N23" s="10" t="b">
        <v>1</v>
      </c>
      <c r="O23" s="10" t="b">
        <v>1</v>
      </c>
    </row>
    <row r="24" spans="1:15" ht="30" customHeight="1" x14ac:dyDescent="0.25">
      <c r="A24" t="s">
        <v>234</v>
      </c>
      <c r="B24" s="2">
        <v>752539</v>
      </c>
      <c r="C24" t="s">
        <v>398</v>
      </c>
      <c r="D24" s="1" t="s">
        <v>185</v>
      </c>
      <c r="E24" t="b">
        <v>1</v>
      </c>
      <c r="F24" s="5">
        <v>541100</v>
      </c>
      <c r="G24" t="s">
        <v>399</v>
      </c>
      <c r="H24" t="s">
        <v>400</v>
      </c>
      <c r="I24" t="s">
        <v>401</v>
      </c>
      <c r="J24" s="21" t="s">
        <v>1552</v>
      </c>
      <c r="K24" t="str">
        <f>VLOOKUP(Table12[[#This Row],[Company ID]],'[1]Coordinator Notes'!$B:$D,3,FALSE)</f>
        <v>Received</v>
      </c>
      <c r="L24" s="12" t="str">
        <f t="shared" si="0"/>
        <v>RECEIVED</v>
      </c>
      <c r="M24" s="10" t="b">
        <v>0</v>
      </c>
      <c r="N24" s="10" t="b">
        <v>0</v>
      </c>
      <c r="O24" s="10" t="b">
        <v>1</v>
      </c>
    </row>
    <row r="25" spans="1:15" ht="30" customHeight="1" x14ac:dyDescent="0.25">
      <c r="A25" t="s">
        <v>234</v>
      </c>
      <c r="B25" s="2">
        <v>807058</v>
      </c>
      <c r="C25" t="s">
        <v>374</v>
      </c>
      <c r="D25" s="1" t="s">
        <v>160</v>
      </c>
      <c r="E25" t="b">
        <v>1</v>
      </c>
      <c r="F25" s="5">
        <v>9600</v>
      </c>
      <c r="G25" t="s">
        <v>375</v>
      </c>
      <c r="H25" t="s">
        <v>376</v>
      </c>
      <c r="I25" t="s">
        <v>377</v>
      </c>
      <c r="J25" s="21" t="s">
        <v>1553</v>
      </c>
      <c r="K25" t="str">
        <f>VLOOKUP(Table12[[#This Row],[Company ID]],'[1]Coordinator Notes'!$B:$D,3,FALSE)</f>
        <v>Completion</v>
      </c>
      <c r="L25" s="12" t="b">
        <f t="shared" si="0"/>
        <v>1</v>
      </c>
      <c r="M25" s="10" t="b">
        <v>1</v>
      </c>
      <c r="N25" s="10" t="b">
        <v>1</v>
      </c>
      <c r="O25" s="10" t="b">
        <v>1</v>
      </c>
    </row>
    <row r="26" spans="1:15" ht="30" customHeight="1" x14ac:dyDescent="0.25">
      <c r="A26" t="s">
        <v>234</v>
      </c>
      <c r="B26" s="2">
        <v>592207</v>
      </c>
      <c r="C26" t="s">
        <v>402</v>
      </c>
      <c r="D26" s="1" t="s">
        <v>185</v>
      </c>
      <c r="E26" t="b">
        <v>1</v>
      </c>
      <c r="F26" s="5">
        <v>500000</v>
      </c>
      <c r="G26" t="s">
        <v>403</v>
      </c>
      <c r="H26" t="s">
        <v>404</v>
      </c>
      <c r="I26" t="s">
        <v>405</v>
      </c>
      <c r="J26" s="21" t="s">
        <v>1554</v>
      </c>
      <c r="K26" t="str">
        <f>VLOOKUP(Table12[[#This Row],[Company ID]],'[1]Coordinator Notes'!$B:$D,3,FALSE)</f>
        <v>Received</v>
      </c>
      <c r="L26" s="12" t="str">
        <f t="shared" si="0"/>
        <v>RECEIVED</v>
      </c>
      <c r="M26" s="10" t="b">
        <v>1</v>
      </c>
      <c r="N26" s="10" t="b">
        <v>0</v>
      </c>
      <c r="O26" s="10" t="b">
        <v>1</v>
      </c>
    </row>
    <row r="27" spans="1:15" ht="30" customHeight="1" x14ac:dyDescent="0.25">
      <c r="A27" t="s">
        <v>234</v>
      </c>
      <c r="B27" s="2">
        <v>363199</v>
      </c>
      <c r="C27" t="s">
        <v>406</v>
      </c>
      <c r="D27" s="1" t="s">
        <v>185</v>
      </c>
      <c r="E27" t="b">
        <v>1</v>
      </c>
      <c r="F27" s="5">
        <v>72200</v>
      </c>
      <c r="G27" t="s">
        <v>407</v>
      </c>
      <c r="H27" t="s">
        <v>408</v>
      </c>
      <c r="I27" t="s">
        <v>409</v>
      </c>
      <c r="J27" s="21" t="s">
        <v>1494</v>
      </c>
      <c r="K27" t="str">
        <f>VLOOKUP(Table12[[#This Row],[Company ID]],'[1]Coordinator Notes'!$B:$D,3,FALSE)</f>
        <v>Received</v>
      </c>
      <c r="L27" s="12" t="str">
        <f t="shared" si="0"/>
        <v>RECEIVED</v>
      </c>
      <c r="M27" s="10" t="b">
        <v>1</v>
      </c>
      <c r="N27" s="10" t="b">
        <v>0</v>
      </c>
      <c r="O27" s="10" t="b">
        <v>1</v>
      </c>
    </row>
    <row r="28" spans="1:15" ht="30" customHeight="1" x14ac:dyDescent="0.25">
      <c r="A28" t="s">
        <v>234</v>
      </c>
      <c r="B28" s="2">
        <v>312369</v>
      </c>
      <c r="C28" t="s">
        <v>358</v>
      </c>
      <c r="D28" s="1" t="s">
        <v>143</v>
      </c>
      <c r="E28" t="b">
        <v>1</v>
      </c>
      <c r="F28" s="5">
        <v>337400</v>
      </c>
      <c r="G28" t="s">
        <v>359</v>
      </c>
      <c r="H28" t="s">
        <v>360</v>
      </c>
      <c r="I28" t="s">
        <v>361</v>
      </c>
      <c r="J28" s="21" t="s">
        <v>1555</v>
      </c>
      <c r="K28" t="str">
        <f>VLOOKUP(Table12[[#This Row],[Company ID]],'[1]Coordinator Notes'!$B:$D,3,FALSE)</f>
        <v>Received</v>
      </c>
      <c r="L28" s="12" t="str">
        <f t="shared" si="0"/>
        <v>RECEIVED</v>
      </c>
      <c r="M28" s="10" t="b">
        <v>1</v>
      </c>
      <c r="N28" s="10" t="b">
        <v>0</v>
      </c>
      <c r="O28" s="10" t="b">
        <v>0</v>
      </c>
    </row>
    <row r="29" spans="1:15" ht="30" customHeight="1" x14ac:dyDescent="0.25">
      <c r="A29" t="s">
        <v>234</v>
      </c>
      <c r="B29" s="2">
        <v>787491</v>
      </c>
      <c r="C29" t="s">
        <v>378</v>
      </c>
      <c r="D29" s="1" t="s">
        <v>160</v>
      </c>
      <c r="E29" t="b">
        <v>1</v>
      </c>
      <c r="F29" s="5">
        <v>153300</v>
      </c>
      <c r="G29" t="s">
        <v>379</v>
      </c>
      <c r="H29" t="s">
        <v>380</v>
      </c>
      <c r="I29" t="s">
        <v>381</v>
      </c>
      <c r="J29" s="21" t="s">
        <v>1556</v>
      </c>
      <c r="K29" t="str">
        <f>VLOOKUP(Table12[[#This Row],[Company ID]],'[1]Coordinator Notes'!$B:$D,3,FALSE)</f>
        <v>Delayed</v>
      </c>
      <c r="L29" s="12" t="b">
        <f t="shared" si="0"/>
        <v>0</v>
      </c>
      <c r="M29" s="10" t="b">
        <v>0</v>
      </c>
      <c r="N29" s="10" t="b">
        <v>0</v>
      </c>
      <c r="O29" s="10" t="b">
        <v>0</v>
      </c>
    </row>
    <row r="30" spans="1:15" ht="30" customHeight="1" x14ac:dyDescent="0.25">
      <c r="A30" t="s">
        <v>234</v>
      </c>
      <c r="B30" s="2">
        <v>648288</v>
      </c>
      <c r="C30" t="s">
        <v>330</v>
      </c>
      <c r="D30" s="1" t="s">
        <v>118</v>
      </c>
      <c r="E30" t="b">
        <v>1</v>
      </c>
      <c r="F30" s="5">
        <v>41900</v>
      </c>
      <c r="G30" t="s">
        <v>331</v>
      </c>
      <c r="H30" t="s">
        <v>332</v>
      </c>
      <c r="I30" t="s">
        <v>333</v>
      </c>
      <c r="J30" s="21" t="s">
        <v>1557</v>
      </c>
      <c r="K30" t="str">
        <f>VLOOKUP(Table12[[#This Row],[Company ID]],'[1]Coordinator Notes'!$B:$D,3,FALSE)</f>
        <v>Completion</v>
      </c>
      <c r="L30" s="12" t="b">
        <f t="shared" si="0"/>
        <v>1</v>
      </c>
      <c r="M30" s="10" t="b">
        <v>1</v>
      </c>
      <c r="N30" s="10" t="b">
        <v>1</v>
      </c>
      <c r="O30" s="10" t="b">
        <v>1</v>
      </c>
    </row>
    <row r="31" spans="1:15" ht="30" customHeight="1" x14ac:dyDescent="0.25">
      <c r="A31" t="s">
        <v>234</v>
      </c>
      <c r="B31" s="2">
        <v>613296</v>
      </c>
      <c r="C31" t="s">
        <v>334</v>
      </c>
      <c r="D31" s="1" t="s">
        <v>118</v>
      </c>
      <c r="E31" t="b">
        <v>1</v>
      </c>
      <c r="F31" s="5">
        <v>329800</v>
      </c>
      <c r="G31" t="s">
        <v>335</v>
      </c>
      <c r="H31" t="s">
        <v>336</v>
      </c>
      <c r="I31" t="s">
        <v>337</v>
      </c>
      <c r="J31" s="21" t="s">
        <v>1512</v>
      </c>
      <c r="K31" t="str">
        <f>VLOOKUP(Table12[[#This Row],[Company ID]],'[1]Coordinator Notes'!$B:$D,3,FALSE)</f>
        <v>Completion</v>
      </c>
      <c r="L31" s="12" t="b">
        <f t="shared" si="0"/>
        <v>1</v>
      </c>
      <c r="M31" s="10" t="b">
        <v>1</v>
      </c>
      <c r="N31" s="10" t="b">
        <v>1</v>
      </c>
      <c r="O31" s="10" t="b">
        <v>1</v>
      </c>
    </row>
    <row r="32" spans="1:15" ht="30" customHeight="1" x14ac:dyDescent="0.25">
      <c r="A32" t="s">
        <v>234</v>
      </c>
      <c r="B32" s="2">
        <v>559749</v>
      </c>
      <c r="C32" t="s">
        <v>382</v>
      </c>
      <c r="D32" s="1" t="s">
        <v>160</v>
      </c>
      <c r="E32" t="b">
        <v>1</v>
      </c>
      <c r="F32" s="5">
        <v>143300</v>
      </c>
      <c r="G32" t="s">
        <v>383</v>
      </c>
      <c r="H32" t="s">
        <v>384</v>
      </c>
      <c r="I32" t="s">
        <v>385</v>
      </c>
      <c r="J32" s="21" t="s">
        <v>1517</v>
      </c>
      <c r="K32" t="str">
        <f>VLOOKUP(Table12[[#This Row],[Company ID]],'[1]Coordinator Notes'!$B:$D,3,FALSE)</f>
        <v>Delayed</v>
      </c>
      <c r="L32" s="12" t="b">
        <f t="shared" si="0"/>
        <v>0</v>
      </c>
      <c r="M32" s="10" t="b">
        <v>0</v>
      </c>
      <c r="N32" s="10" t="b">
        <v>0</v>
      </c>
      <c r="O32" s="10" t="b">
        <v>0</v>
      </c>
    </row>
    <row r="33" spans="1:15" ht="30" customHeight="1" x14ac:dyDescent="0.25">
      <c r="A33" t="s">
        <v>234</v>
      </c>
      <c r="B33" s="2">
        <v>780052</v>
      </c>
      <c r="C33" t="s">
        <v>362</v>
      </c>
      <c r="D33" s="1" t="s">
        <v>143</v>
      </c>
      <c r="E33" t="b">
        <v>1</v>
      </c>
      <c r="F33" s="5">
        <v>350900</v>
      </c>
      <c r="G33" t="s">
        <v>363</v>
      </c>
      <c r="H33" t="s">
        <v>364</v>
      </c>
      <c r="I33" t="s">
        <v>365</v>
      </c>
      <c r="J33" s="21" t="s">
        <v>1557</v>
      </c>
      <c r="K33" t="str">
        <f>VLOOKUP(Table12[[#This Row],[Company ID]],'[1]Coordinator Notes'!$B:$D,3,FALSE)</f>
        <v>Completion</v>
      </c>
      <c r="L33" s="12" t="b">
        <f t="shared" si="0"/>
        <v>1</v>
      </c>
      <c r="M33" s="10" t="b">
        <v>1</v>
      </c>
      <c r="N33" s="10" t="b">
        <v>1</v>
      </c>
      <c r="O33" s="10" t="b">
        <v>1</v>
      </c>
    </row>
    <row r="34" spans="1:15" ht="30" customHeight="1" x14ac:dyDescent="0.25">
      <c r="A34" t="s">
        <v>234</v>
      </c>
      <c r="B34" s="2">
        <v>201358</v>
      </c>
      <c r="C34" t="s">
        <v>251</v>
      </c>
      <c r="D34" s="1" t="s">
        <v>28</v>
      </c>
      <c r="E34" t="b">
        <v>1</v>
      </c>
      <c r="F34" s="5">
        <v>297800</v>
      </c>
      <c r="G34" t="s">
        <v>252</v>
      </c>
      <c r="H34" t="s">
        <v>21</v>
      </c>
      <c r="I34" t="s">
        <v>253</v>
      </c>
      <c r="J34" s="21" t="s">
        <v>1553</v>
      </c>
      <c r="K34" t="str">
        <f>VLOOKUP(Table12[[#This Row],[Company ID]],'[1]Coordinator Notes'!$B:$D,3,FALSE)</f>
        <v>Completion</v>
      </c>
      <c r="L34" s="12" t="b">
        <f t="shared" si="0"/>
        <v>1</v>
      </c>
      <c r="M34" s="10" t="b">
        <v>1</v>
      </c>
      <c r="N34" s="10" t="b">
        <v>1</v>
      </c>
      <c r="O34" s="10" t="b">
        <v>1</v>
      </c>
    </row>
    <row r="35" spans="1:15" ht="30" customHeight="1" x14ac:dyDescent="0.25">
      <c r="A35" t="s">
        <v>234</v>
      </c>
      <c r="B35" s="2">
        <v>571224</v>
      </c>
      <c r="C35" t="s">
        <v>298</v>
      </c>
      <c r="D35" s="1" t="s">
        <v>61</v>
      </c>
      <c r="E35" t="b">
        <v>1</v>
      </c>
      <c r="F35" s="5">
        <v>120300</v>
      </c>
      <c r="G35" t="s">
        <v>299</v>
      </c>
      <c r="H35" t="s">
        <v>300</v>
      </c>
      <c r="I35" t="s">
        <v>301</v>
      </c>
      <c r="J35" s="21" t="s">
        <v>1558</v>
      </c>
      <c r="K35" t="str">
        <f>VLOOKUP(Table12[[#This Row],[Company ID]],'[1]Coordinator Notes'!$B:$D,3,FALSE)</f>
        <v>Received</v>
      </c>
      <c r="L35" s="12" t="str">
        <f t="shared" si="0"/>
        <v>RECEIVED</v>
      </c>
      <c r="M35" s="10" t="b">
        <v>1</v>
      </c>
      <c r="N35" s="10" t="b">
        <v>1</v>
      </c>
      <c r="O35" s="10" t="b">
        <v>0</v>
      </c>
    </row>
    <row r="36" spans="1:15" ht="30" customHeight="1" x14ac:dyDescent="0.25">
      <c r="A36" t="s">
        <v>234</v>
      </c>
      <c r="B36" s="2">
        <v>976981</v>
      </c>
      <c r="C36" t="s">
        <v>436</v>
      </c>
      <c r="D36" s="1" t="s">
        <v>437</v>
      </c>
      <c r="E36" t="b">
        <v>0</v>
      </c>
      <c r="F36" s="5">
        <v>34400</v>
      </c>
      <c r="G36" t="s">
        <v>438</v>
      </c>
      <c r="H36" t="s">
        <v>213</v>
      </c>
      <c r="I36" t="s">
        <v>439</v>
      </c>
      <c r="J36" s="21" t="s">
        <v>1559</v>
      </c>
      <c r="K36" t="str">
        <f>VLOOKUP(Table12[[#This Row],[Company ID]],'[1]Coordinator Notes'!$B:$D,3,FALSE)</f>
        <v>Received</v>
      </c>
      <c r="L36" s="12" t="str">
        <f t="shared" si="0"/>
        <v>RECEIVED</v>
      </c>
      <c r="M36" s="10" t="b">
        <v>0</v>
      </c>
      <c r="N36" s="10" t="b">
        <v>1</v>
      </c>
      <c r="O36" s="10" t="b">
        <v>1</v>
      </c>
    </row>
    <row r="37" spans="1:15" ht="30" customHeight="1" x14ac:dyDescent="0.25">
      <c r="A37" t="s">
        <v>234</v>
      </c>
      <c r="B37" s="2">
        <v>428668</v>
      </c>
      <c r="C37" t="s">
        <v>254</v>
      </c>
      <c r="D37" s="1" t="s">
        <v>28</v>
      </c>
      <c r="E37" t="b">
        <v>1</v>
      </c>
      <c r="F37" s="5">
        <v>555800</v>
      </c>
      <c r="G37" t="s">
        <v>255</v>
      </c>
      <c r="H37" t="s">
        <v>256</v>
      </c>
      <c r="I37" t="s">
        <v>257</v>
      </c>
      <c r="J37" s="21" t="s">
        <v>1504</v>
      </c>
      <c r="K37" t="str">
        <f>VLOOKUP(Table12[[#This Row],[Company ID]],'[1]Coordinator Notes'!$B:$D,3,FALSE)</f>
        <v>Completion</v>
      </c>
      <c r="L37" s="12" t="b">
        <f t="shared" si="0"/>
        <v>1</v>
      </c>
      <c r="M37" s="10" t="b">
        <v>1</v>
      </c>
      <c r="N37" s="10" t="b">
        <v>1</v>
      </c>
      <c r="O37" s="10" t="b">
        <v>1</v>
      </c>
    </row>
    <row r="38" spans="1:15" ht="30" customHeight="1" x14ac:dyDescent="0.25">
      <c r="A38" t="s">
        <v>234</v>
      </c>
      <c r="B38" s="2">
        <v>237590</v>
      </c>
      <c r="C38" t="s">
        <v>302</v>
      </c>
      <c r="D38" s="1" t="s">
        <v>61</v>
      </c>
      <c r="E38" t="b">
        <v>1</v>
      </c>
      <c r="F38" s="5">
        <v>298100</v>
      </c>
      <c r="G38" t="s">
        <v>303</v>
      </c>
      <c r="H38" t="s">
        <v>304</v>
      </c>
      <c r="I38" t="s">
        <v>305</v>
      </c>
      <c r="J38" s="21" t="s">
        <v>1560</v>
      </c>
      <c r="K38" t="str">
        <f>VLOOKUP(Table12[[#This Row],[Company ID]],'[1]Coordinator Notes'!$B:$D,3,FALSE)</f>
        <v>Received</v>
      </c>
      <c r="L38" s="12" t="str">
        <f t="shared" ref="L38:L58" si="1">IF(COUNTIF(M38:O38,TRUE)=3,TRUE,IF(COUNTIF(M38:O38,TRUE)&gt;=1,"RECEIVED",FALSE))</f>
        <v>RECEIVED</v>
      </c>
      <c r="M38" s="10" t="b">
        <v>0</v>
      </c>
      <c r="N38" s="10" t="b">
        <v>1</v>
      </c>
      <c r="O38" s="10" t="b">
        <v>1</v>
      </c>
    </row>
    <row r="39" spans="1:15" ht="30" customHeight="1" x14ac:dyDescent="0.25">
      <c r="A39" t="s">
        <v>234</v>
      </c>
      <c r="B39" s="2">
        <v>404800</v>
      </c>
      <c r="C39" t="s">
        <v>410</v>
      </c>
      <c r="D39" s="1" t="s">
        <v>185</v>
      </c>
      <c r="E39" t="b">
        <v>1</v>
      </c>
      <c r="F39" s="5">
        <v>41900</v>
      </c>
      <c r="G39" t="s">
        <v>411</v>
      </c>
      <c r="H39" t="s">
        <v>412</v>
      </c>
      <c r="I39" t="s">
        <v>413</v>
      </c>
      <c r="J39" s="21" t="s">
        <v>1524</v>
      </c>
      <c r="K39" t="str">
        <f>VLOOKUP(Table12[[#This Row],[Company ID]],'[1]Coordinator Notes'!$B:$D,3,FALSE)</f>
        <v>Completion</v>
      </c>
      <c r="L39" s="12" t="b">
        <f t="shared" si="1"/>
        <v>1</v>
      </c>
      <c r="M39" s="10" t="b">
        <v>1</v>
      </c>
      <c r="N39" s="10" t="b">
        <v>1</v>
      </c>
      <c r="O39" s="10" t="b">
        <v>1</v>
      </c>
    </row>
    <row r="40" spans="1:15" ht="30" customHeight="1" x14ac:dyDescent="0.25">
      <c r="A40" t="s">
        <v>234</v>
      </c>
      <c r="B40" s="2">
        <v>188534</v>
      </c>
      <c r="C40" t="s">
        <v>258</v>
      </c>
      <c r="D40" s="1" t="s">
        <v>28</v>
      </c>
      <c r="E40" t="b">
        <v>1</v>
      </c>
      <c r="F40" s="5">
        <v>34900</v>
      </c>
      <c r="G40" t="s">
        <v>259</v>
      </c>
      <c r="H40" t="s">
        <v>260</v>
      </c>
      <c r="I40" t="s">
        <v>261</v>
      </c>
      <c r="J40" s="21" t="s">
        <v>1561</v>
      </c>
      <c r="K40" t="str">
        <f>VLOOKUP(Table12[[#This Row],[Company ID]],'[1]Coordinator Notes'!$B:$D,3,FALSE)</f>
        <v>Completion</v>
      </c>
      <c r="L40" s="12" t="b">
        <f t="shared" si="1"/>
        <v>1</v>
      </c>
      <c r="M40" s="10" t="b">
        <v>1</v>
      </c>
      <c r="N40" s="10" t="b">
        <v>1</v>
      </c>
      <c r="O40" s="10" t="b">
        <v>1</v>
      </c>
    </row>
    <row r="41" spans="1:15" ht="30" customHeight="1" x14ac:dyDescent="0.25">
      <c r="A41" t="s">
        <v>234</v>
      </c>
      <c r="B41" s="2">
        <v>801030</v>
      </c>
      <c r="C41" t="s">
        <v>414</v>
      </c>
      <c r="D41" s="1" t="s">
        <v>185</v>
      </c>
      <c r="E41" t="b">
        <v>1</v>
      </c>
      <c r="F41" s="5">
        <v>446700</v>
      </c>
      <c r="G41" t="s">
        <v>415</v>
      </c>
      <c r="H41" t="s">
        <v>416</v>
      </c>
      <c r="I41" t="s">
        <v>417</v>
      </c>
      <c r="J41" s="21" t="s">
        <v>1562</v>
      </c>
      <c r="K41" t="str">
        <f>VLOOKUP(Table12[[#This Row],[Company ID]],'[1]Coordinator Notes'!$B:$D,3,FALSE)</f>
        <v>Completion</v>
      </c>
      <c r="L41" s="12" t="b">
        <f t="shared" si="1"/>
        <v>1</v>
      </c>
      <c r="M41" s="10" t="b">
        <v>1</v>
      </c>
      <c r="N41" s="10" t="b">
        <v>1</v>
      </c>
      <c r="O41" s="10" t="b">
        <v>1</v>
      </c>
    </row>
    <row r="42" spans="1:15" ht="30" customHeight="1" x14ac:dyDescent="0.25">
      <c r="A42" t="s">
        <v>234</v>
      </c>
      <c r="B42" s="2">
        <v>241920</v>
      </c>
      <c r="C42" t="s">
        <v>262</v>
      </c>
      <c r="D42" s="1" t="s">
        <v>28</v>
      </c>
      <c r="E42" t="b">
        <v>1</v>
      </c>
      <c r="F42" s="5">
        <v>408600</v>
      </c>
      <c r="G42" t="s">
        <v>263</v>
      </c>
      <c r="H42" t="s">
        <v>264</v>
      </c>
      <c r="I42" t="s">
        <v>265</v>
      </c>
      <c r="J42" s="21" t="s">
        <v>1563</v>
      </c>
      <c r="K42" t="str">
        <f>VLOOKUP(Table12[[#This Row],[Company ID]],'[1]Coordinator Notes'!$B:$D,3,FALSE)</f>
        <v>Delayed</v>
      </c>
      <c r="L42" s="12" t="b">
        <f t="shared" si="1"/>
        <v>0</v>
      </c>
      <c r="M42" s="10" t="b">
        <v>0</v>
      </c>
      <c r="N42" s="10" t="b">
        <v>0</v>
      </c>
      <c r="O42" s="10" t="b">
        <v>0</v>
      </c>
    </row>
    <row r="43" spans="1:15" ht="30" customHeight="1" x14ac:dyDescent="0.25">
      <c r="A43" t="s">
        <v>234</v>
      </c>
      <c r="B43" s="2">
        <v>153870</v>
      </c>
      <c r="C43" t="s">
        <v>338</v>
      </c>
      <c r="D43" s="1" t="s">
        <v>118</v>
      </c>
      <c r="E43" t="b">
        <v>1</v>
      </c>
      <c r="F43" s="5">
        <v>331900</v>
      </c>
      <c r="G43" t="s">
        <v>339</v>
      </c>
      <c r="H43" t="s">
        <v>340</v>
      </c>
      <c r="I43" t="s">
        <v>341</v>
      </c>
      <c r="J43" s="21" t="s">
        <v>1564</v>
      </c>
      <c r="K43" t="str">
        <f>VLOOKUP(Table12[[#This Row],[Company ID]],'[1]Coordinator Notes'!$B:$D,3,FALSE)</f>
        <v>Completion</v>
      </c>
      <c r="L43" s="12" t="b">
        <f t="shared" si="1"/>
        <v>1</v>
      </c>
      <c r="M43" s="10" t="b">
        <v>1</v>
      </c>
      <c r="N43" s="10" t="b">
        <v>1</v>
      </c>
      <c r="O43" s="10" t="b">
        <v>1</v>
      </c>
    </row>
    <row r="44" spans="1:15" ht="30" customHeight="1" x14ac:dyDescent="0.25">
      <c r="A44" t="s">
        <v>234</v>
      </c>
      <c r="B44" s="2">
        <v>815961</v>
      </c>
      <c r="C44" t="s">
        <v>266</v>
      </c>
      <c r="D44" s="1" t="s">
        <v>28</v>
      </c>
      <c r="E44" t="b">
        <v>1</v>
      </c>
      <c r="F44" s="5">
        <v>50500</v>
      </c>
      <c r="G44" t="s">
        <v>267</v>
      </c>
      <c r="H44" t="s">
        <v>268</v>
      </c>
      <c r="I44" t="s">
        <v>269</v>
      </c>
      <c r="J44" s="21" t="s">
        <v>1565</v>
      </c>
      <c r="K44" t="str">
        <f>VLOOKUP(Table12[[#This Row],[Company ID]],'[1]Coordinator Notes'!$B:$D,3,FALSE)</f>
        <v>Completion</v>
      </c>
      <c r="L44" s="12" t="b">
        <f t="shared" si="1"/>
        <v>1</v>
      </c>
      <c r="M44" s="10" t="b">
        <v>1</v>
      </c>
      <c r="N44" s="10" t="b">
        <v>1</v>
      </c>
      <c r="O44" s="10" t="b">
        <v>1</v>
      </c>
    </row>
    <row r="45" spans="1:15" ht="30" customHeight="1" x14ac:dyDescent="0.25">
      <c r="A45" t="s">
        <v>234</v>
      </c>
      <c r="B45" s="2">
        <v>944039</v>
      </c>
      <c r="C45" t="s">
        <v>418</v>
      </c>
      <c r="D45" s="1" t="s">
        <v>419</v>
      </c>
      <c r="E45" t="b">
        <v>0</v>
      </c>
      <c r="F45" s="5">
        <v>15200</v>
      </c>
      <c r="G45" t="s">
        <v>420</v>
      </c>
      <c r="H45" t="s">
        <v>421</v>
      </c>
      <c r="I45" t="s">
        <v>422</v>
      </c>
      <c r="J45" s="21" t="s">
        <v>1558</v>
      </c>
      <c r="K45" t="str">
        <f>VLOOKUP(Table12[[#This Row],[Company ID]],'[1]Coordinator Notes'!$B:$D,3,FALSE)</f>
        <v>Received</v>
      </c>
      <c r="L45" s="12" t="str">
        <f t="shared" si="1"/>
        <v>RECEIVED</v>
      </c>
      <c r="M45" s="10" t="b">
        <v>1</v>
      </c>
      <c r="N45" s="10" t="b">
        <v>1</v>
      </c>
      <c r="O45" s="10" t="b">
        <v>0</v>
      </c>
    </row>
    <row r="46" spans="1:15" ht="30" customHeight="1" x14ac:dyDescent="0.25">
      <c r="A46" t="s">
        <v>234</v>
      </c>
      <c r="B46" s="2">
        <v>644854</v>
      </c>
      <c r="C46" t="s">
        <v>270</v>
      </c>
      <c r="D46" s="1" t="s">
        <v>28</v>
      </c>
      <c r="E46" t="b">
        <v>1</v>
      </c>
      <c r="F46" s="5">
        <v>259000</v>
      </c>
      <c r="G46" t="s">
        <v>271</v>
      </c>
      <c r="H46" t="s">
        <v>272</v>
      </c>
      <c r="I46" t="s">
        <v>273</v>
      </c>
      <c r="J46" s="21" t="s">
        <v>1566</v>
      </c>
      <c r="K46" t="str">
        <f>VLOOKUP(Table12[[#This Row],[Company ID]],'[1]Coordinator Notes'!$B:$D,3,FALSE)</f>
        <v>Delayed</v>
      </c>
      <c r="L46" s="12" t="b">
        <f t="shared" si="1"/>
        <v>0</v>
      </c>
      <c r="M46" s="10" t="b">
        <v>0</v>
      </c>
      <c r="N46" s="10" t="b">
        <v>0</v>
      </c>
      <c r="O46" s="10" t="b">
        <v>0</v>
      </c>
    </row>
    <row r="47" spans="1:15" ht="30" customHeight="1" x14ac:dyDescent="0.25">
      <c r="A47" t="s">
        <v>234</v>
      </c>
      <c r="B47" s="2">
        <v>554670</v>
      </c>
      <c r="C47" t="s">
        <v>274</v>
      </c>
      <c r="D47" s="1" t="s">
        <v>28</v>
      </c>
      <c r="E47" t="b">
        <v>1</v>
      </c>
      <c r="F47" s="5">
        <v>33400</v>
      </c>
      <c r="G47" t="s">
        <v>275</v>
      </c>
      <c r="H47" t="s">
        <v>276</v>
      </c>
      <c r="I47" t="s">
        <v>277</v>
      </c>
      <c r="J47" s="21" t="s">
        <v>1567</v>
      </c>
      <c r="K47" t="str">
        <f>VLOOKUP(Table12[[#This Row],[Company ID]],'[1]Coordinator Notes'!$B:$D,3,FALSE)</f>
        <v>Completion</v>
      </c>
      <c r="L47" s="12" t="b">
        <f t="shared" si="1"/>
        <v>1</v>
      </c>
      <c r="M47" s="10" t="b">
        <v>1</v>
      </c>
      <c r="N47" s="10" t="b">
        <v>1</v>
      </c>
      <c r="O47" s="10" t="b">
        <v>1</v>
      </c>
    </row>
    <row r="48" spans="1:15" ht="30" customHeight="1" x14ac:dyDescent="0.25">
      <c r="A48" t="s">
        <v>234</v>
      </c>
      <c r="B48" s="2">
        <v>452760</v>
      </c>
      <c r="C48" t="s">
        <v>342</v>
      </c>
      <c r="D48" s="1" t="s">
        <v>118</v>
      </c>
      <c r="E48" t="b">
        <v>1</v>
      </c>
      <c r="F48" s="5">
        <v>240800</v>
      </c>
      <c r="G48" t="s">
        <v>343</v>
      </c>
      <c r="H48" t="s">
        <v>344</v>
      </c>
      <c r="I48" t="s">
        <v>345</v>
      </c>
      <c r="J48" s="21" t="s">
        <v>1568</v>
      </c>
      <c r="K48" t="str">
        <f>VLOOKUP(Table12[[#This Row],[Company ID]],'[1]Coordinator Notes'!$B:$D,3,FALSE)</f>
        <v>Delayed</v>
      </c>
      <c r="L48" s="12" t="b">
        <f t="shared" si="1"/>
        <v>0</v>
      </c>
      <c r="M48" s="10" t="b">
        <v>0</v>
      </c>
      <c r="N48" s="10" t="b">
        <v>0</v>
      </c>
      <c r="O48" s="10" t="b">
        <v>0</v>
      </c>
    </row>
    <row r="49" spans="1:15" ht="30" customHeight="1" x14ac:dyDescent="0.25">
      <c r="A49" t="s">
        <v>234</v>
      </c>
      <c r="B49" s="2">
        <v>671229</v>
      </c>
      <c r="C49" t="s">
        <v>278</v>
      </c>
      <c r="D49" s="1" t="s">
        <v>28</v>
      </c>
      <c r="E49" t="b">
        <v>1</v>
      </c>
      <c r="F49" s="5">
        <v>214900</v>
      </c>
      <c r="G49" t="s">
        <v>279</v>
      </c>
      <c r="H49" t="s">
        <v>280</v>
      </c>
      <c r="I49" t="s">
        <v>281</v>
      </c>
      <c r="J49" s="21" t="s">
        <v>1545</v>
      </c>
      <c r="K49" t="str">
        <f>VLOOKUP(Table12[[#This Row],[Company ID]],'[1]Coordinator Notes'!$B:$D,3,FALSE)</f>
        <v>Completion</v>
      </c>
      <c r="L49" s="12" t="b">
        <f t="shared" si="1"/>
        <v>1</v>
      </c>
      <c r="M49" s="10" t="b">
        <v>1</v>
      </c>
      <c r="N49" s="10" t="b">
        <v>1</v>
      </c>
      <c r="O49" s="10" t="b">
        <v>1</v>
      </c>
    </row>
    <row r="50" spans="1:15" ht="30" customHeight="1" x14ac:dyDescent="0.25">
      <c r="A50" t="s">
        <v>234</v>
      </c>
      <c r="B50" s="2">
        <v>979734</v>
      </c>
      <c r="C50" t="s">
        <v>314</v>
      </c>
      <c r="D50" s="1" t="s">
        <v>89</v>
      </c>
      <c r="E50" t="b">
        <v>1</v>
      </c>
      <c r="F50" s="5">
        <v>195300</v>
      </c>
      <c r="G50" t="s">
        <v>315</v>
      </c>
      <c r="H50" t="s">
        <v>316</v>
      </c>
      <c r="I50" t="s">
        <v>317</v>
      </c>
      <c r="J50" s="21" t="s">
        <v>1508</v>
      </c>
      <c r="K50" t="str">
        <f>VLOOKUP(Table12[[#This Row],[Company ID]],'[1]Coordinator Notes'!$B:$D,3,FALSE)</f>
        <v>Completion</v>
      </c>
      <c r="L50" s="12" t="b">
        <f t="shared" si="1"/>
        <v>1</v>
      </c>
      <c r="M50" s="10" t="b">
        <v>1</v>
      </c>
      <c r="N50" s="10" t="b">
        <v>1</v>
      </c>
      <c r="O50" s="10" t="b">
        <v>1</v>
      </c>
    </row>
    <row r="51" spans="1:15" ht="30" customHeight="1" x14ac:dyDescent="0.25">
      <c r="A51" t="s">
        <v>234</v>
      </c>
      <c r="B51" s="2">
        <v>891370</v>
      </c>
      <c r="C51" t="s">
        <v>318</v>
      </c>
      <c r="D51" s="1" t="s">
        <v>89</v>
      </c>
      <c r="E51" t="b">
        <v>1</v>
      </c>
      <c r="F51" s="5">
        <v>155300</v>
      </c>
      <c r="G51" t="s">
        <v>319</v>
      </c>
      <c r="H51" t="s">
        <v>320</v>
      </c>
      <c r="I51" t="s">
        <v>321</v>
      </c>
      <c r="J51" s="21" t="s">
        <v>1569</v>
      </c>
      <c r="K51" t="str">
        <f>VLOOKUP(Table12[[#This Row],[Company ID]],'[1]Coordinator Notes'!$B:$D,3,FALSE)</f>
        <v>Received</v>
      </c>
      <c r="L51" s="12" t="str">
        <f t="shared" si="1"/>
        <v>RECEIVED</v>
      </c>
      <c r="M51" s="10" t="b">
        <v>0</v>
      </c>
      <c r="N51" s="10" t="b">
        <v>0</v>
      </c>
      <c r="O51" s="10" t="b">
        <v>1</v>
      </c>
    </row>
    <row r="52" spans="1:15" ht="30" customHeight="1" x14ac:dyDescent="0.25">
      <c r="A52" t="s">
        <v>234</v>
      </c>
      <c r="B52" s="2">
        <v>777015</v>
      </c>
      <c r="C52" t="s">
        <v>282</v>
      </c>
      <c r="D52" s="1" t="s">
        <v>28</v>
      </c>
      <c r="E52" t="b">
        <v>1</v>
      </c>
      <c r="F52" s="5">
        <v>244300</v>
      </c>
      <c r="G52" t="s">
        <v>283</v>
      </c>
      <c r="H52" t="s">
        <v>284</v>
      </c>
      <c r="I52" t="s">
        <v>285</v>
      </c>
      <c r="J52" s="21" t="s">
        <v>1570</v>
      </c>
      <c r="K52" t="str">
        <f>VLOOKUP(Table12[[#This Row],[Company ID]],'[1]Coordinator Notes'!$B:$D,3,FALSE)</f>
        <v>Delayed</v>
      </c>
      <c r="L52" s="12" t="b">
        <f t="shared" si="1"/>
        <v>0</v>
      </c>
      <c r="M52" s="10" t="b">
        <v>0</v>
      </c>
      <c r="N52" s="10" t="b">
        <v>0</v>
      </c>
      <c r="O52" s="10" t="b">
        <v>0</v>
      </c>
    </row>
    <row r="53" spans="1:15" ht="30" customHeight="1" x14ac:dyDescent="0.25">
      <c r="A53" t="s">
        <v>234</v>
      </c>
      <c r="B53" s="2">
        <v>386058</v>
      </c>
      <c r="C53" t="s">
        <v>366</v>
      </c>
      <c r="D53" s="1" t="s">
        <v>143</v>
      </c>
      <c r="E53" t="b">
        <v>1</v>
      </c>
      <c r="F53" s="5">
        <v>178000</v>
      </c>
      <c r="G53" t="s">
        <v>367</v>
      </c>
      <c r="H53" t="s">
        <v>368</v>
      </c>
      <c r="I53" t="s">
        <v>369</v>
      </c>
      <c r="J53" s="21" t="s">
        <v>1502</v>
      </c>
      <c r="K53" t="str">
        <f>VLOOKUP(Table12[[#This Row],[Company ID]],'[1]Coordinator Notes'!$B:$D,3,FALSE)</f>
        <v>Completion</v>
      </c>
      <c r="L53" s="12" t="b">
        <f t="shared" si="1"/>
        <v>1</v>
      </c>
      <c r="M53" s="10" t="b">
        <v>1</v>
      </c>
      <c r="N53" s="10" t="b">
        <v>1</v>
      </c>
      <c r="O53" s="10" t="b">
        <v>1</v>
      </c>
    </row>
    <row r="54" spans="1:15" ht="30" customHeight="1" x14ac:dyDescent="0.25">
      <c r="A54" t="s">
        <v>234</v>
      </c>
      <c r="B54" s="2">
        <v>546016</v>
      </c>
      <c r="C54" t="s">
        <v>346</v>
      </c>
      <c r="D54" s="1" t="s">
        <v>118</v>
      </c>
      <c r="E54" t="b">
        <v>1</v>
      </c>
      <c r="F54" s="5">
        <v>331300</v>
      </c>
      <c r="G54" t="s">
        <v>347</v>
      </c>
      <c r="H54" t="s">
        <v>348</v>
      </c>
      <c r="I54" t="s">
        <v>349</v>
      </c>
      <c r="J54" s="21" t="s">
        <v>1571</v>
      </c>
      <c r="K54" t="str">
        <f>VLOOKUP(Table12[[#This Row],[Company ID]],'[1]Coordinator Notes'!$B:$D,3,FALSE)</f>
        <v>Completion</v>
      </c>
      <c r="L54" s="12" t="b">
        <f t="shared" si="1"/>
        <v>1</v>
      </c>
      <c r="M54" s="10" t="b">
        <v>1</v>
      </c>
      <c r="N54" s="10" t="b">
        <v>1</v>
      </c>
      <c r="O54" s="10" t="b">
        <v>1</v>
      </c>
    </row>
    <row r="55" spans="1:15" ht="30" customHeight="1" x14ac:dyDescent="0.25">
      <c r="A55" t="s">
        <v>234</v>
      </c>
      <c r="B55" s="2">
        <v>658902</v>
      </c>
      <c r="C55" t="s">
        <v>386</v>
      </c>
      <c r="D55" s="1" t="s">
        <v>160</v>
      </c>
      <c r="E55" t="b">
        <v>1</v>
      </c>
      <c r="F55" s="5">
        <v>132900</v>
      </c>
      <c r="G55" t="s">
        <v>387</v>
      </c>
      <c r="H55" t="s">
        <v>388</v>
      </c>
      <c r="I55" t="s">
        <v>389</v>
      </c>
      <c r="J55" s="21" t="s">
        <v>1572</v>
      </c>
      <c r="K55" t="str">
        <f>VLOOKUP(Table12[[#This Row],[Company ID]],'[1]Coordinator Notes'!$B:$D,3,FALSE)</f>
        <v>Received</v>
      </c>
      <c r="L55" s="12" t="str">
        <f t="shared" si="1"/>
        <v>RECEIVED</v>
      </c>
      <c r="M55" s="10" t="b">
        <v>1</v>
      </c>
      <c r="N55" s="10" t="b">
        <v>0</v>
      </c>
      <c r="O55" s="10" t="b">
        <v>0</v>
      </c>
    </row>
    <row r="56" spans="1:15" ht="30" customHeight="1" x14ac:dyDescent="0.25">
      <c r="A56" t="s">
        <v>234</v>
      </c>
      <c r="B56" s="2">
        <v>324742</v>
      </c>
      <c r="C56" t="s">
        <v>239</v>
      </c>
      <c r="D56" s="1" t="s">
        <v>11</v>
      </c>
      <c r="E56" t="b">
        <v>1</v>
      </c>
      <c r="F56" s="5">
        <v>74500</v>
      </c>
      <c r="G56" t="s">
        <v>240</v>
      </c>
      <c r="H56" t="s">
        <v>241</v>
      </c>
      <c r="I56" t="s">
        <v>242</v>
      </c>
      <c r="J56" s="21" t="s">
        <v>1573</v>
      </c>
      <c r="K56" t="str">
        <f>VLOOKUP(Table12[[#This Row],[Company ID]],'[1]Coordinator Notes'!$B:$D,3,FALSE)</f>
        <v>Completion</v>
      </c>
      <c r="L56" s="12" t="b">
        <f t="shared" si="1"/>
        <v>1</v>
      </c>
      <c r="M56" s="10" t="b">
        <v>1</v>
      </c>
      <c r="N56" s="10" t="b">
        <v>1</v>
      </c>
      <c r="O56" s="10" t="b">
        <v>1</v>
      </c>
    </row>
    <row r="57" spans="1:15" ht="30" customHeight="1" x14ac:dyDescent="0.25">
      <c r="A57" t="s">
        <v>234</v>
      </c>
      <c r="B57" s="2">
        <v>342572</v>
      </c>
      <c r="C57" t="s">
        <v>423</v>
      </c>
      <c r="D57" s="1" t="s">
        <v>216</v>
      </c>
      <c r="E57" t="b">
        <v>0</v>
      </c>
      <c r="F57" s="5">
        <v>61200</v>
      </c>
      <c r="G57" t="s">
        <v>424</v>
      </c>
      <c r="H57" t="s">
        <v>425</v>
      </c>
      <c r="I57" t="s">
        <v>426</v>
      </c>
      <c r="J57" s="21" t="s">
        <v>1574</v>
      </c>
      <c r="K57" t="str">
        <f>VLOOKUP(Table12[[#This Row],[Company ID]],'[1]Coordinator Notes'!$B:$D,3,FALSE)</f>
        <v>Delayed</v>
      </c>
      <c r="L57" s="12" t="b">
        <f t="shared" si="1"/>
        <v>0</v>
      </c>
      <c r="M57" s="10" t="b">
        <v>0</v>
      </c>
      <c r="N57" s="10" t="b">
        <v>0</v>
      </c>
      <c r="O57" s="10" t="b">
        <v>0</v>
      </c>
    </row>
    <row r="58" spans="1:15" ht="30" customHeight="1" x14ac:dyDescent="0.25">
      <c r="A58" t="s">
        <v>234</v>
      </c>
      <c r="B58" s="2">
        <v>128505</v>
      </c>
      <c r="C58" t="s">
        <v>390</v>
      </c>
      <c r="D58" s="1" t="s">
        <v>160</v>
      </c>
      <c r="E58" t="b">
        <v>1</v>
      </c>
      <c r="F58" s="5">
        <v>82500</v>
      </c>
      <c r="G58" t="s">
        <v>391</v>
      </c>
      <c r="H58" t="s">
        <v>392</v>
      </c>
      <c r="I58" t="s">
        <v>393</v>
      </c>
      <c r="J58" s="21" t="s">
        <v>1575</v>
      </c>
      <c r="K58" s="2" t="s">
        <v>1488</v>
      </c>
      <c r="L58" s="12" t="str">
        <f t="shared" si="1"/>
        <v>RECEIVED</v>
      </c>
      <c r="M58" s="10" t="b">
        <v>0</v>
      </c>
      <c r="N58" s="10" t="b">
        <v>0</v>
      </c>
      <c r="O58" s="10" t="b">
        <v>1</v>
      </c>
    </row>
  </sheetData>
  <conditionalFormatting sqref="L6:L58">
    <cfRule type="containsText" dxfId="11" priority="1" operator="containsText" text="RECEIVED">
      <formula>NOT(ISERROR(SEARCH("RECEIVED",L6)))</formula>
    </cfRule>
    <cfRule type="containsText" dxfId="10" priority="2" operator="containsText" text="TRUE">
      <formula>NOT(ISERROR(SEARCH("TRUE",L6)))</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E9974-89CD-4B67-8247-C56968DC8897}">
  <sheetPr>
    <tabColor theme="3" tint="0.39997558519241921"/>
  </sheetPr>
  <dimension ref="A1:P58"/>
  <sheetViews>
    <sheetView zoomScale="80" zoomScaleNormal="80" workbookViewId="0">
      <pane ySplit="5" topLeftCell="A6" activePane="bottomLeft" state="frozen"/>
      <selection pane="bottomLeft" activeCell="D2" sqref="D2"/>
    </sheetView>
  </sheetViews>
  <sheetFormatPr defaultRowHeight="15" x14ac:dyDescent="0.25"/>
  <cols>
    <col min="1" max="2" width="13.7109375" customWidth="1"/>
    <col min="3" max="3" width="39.85546875" bestFit="1" customWidth="1"/>
    <col min="4" max="4" width="25" bestFit="1" customWidth="1"/>
    <col min="5" max="5" width="12.7109375" customWidth="1"/>
    <col min="6" max="6" width="15.42578125" customWidth="1"/>
    <col min="7" max="7" width="18.28515625" bestFit="1" customWidth="1"/>
    <col min="8" max="8" width="16" customWidth="1"/>
    <col min="9" max="9" width="37.5703125" bestFit="1" customWidth="1"/>
    <col min="10" max="10" width="35.7109375" customWidth="1"/>
    <col min="11" max="11" width="18.7109375" customWidth="1"/>
    <col min="12" max="12" width="18" customWidth="1"/>
    <col min="13" max="15" width="10.7109375" customWidth="1"/>
    <col min="16" max="16" width="11" customWidth="1"/>
  </cols>
  <sheetData>
    <row r="1" spans="1:16" ht="15.75" x14ac:dyDescent="0.25">
      <c r="A1" s="61" t="s">
        <v>1480</v>
      </c>
      <c r="B1" s="62"/>
      <c r="C1" s="62"/>
    </row>
    <row r="2" spans="1:16" ht="15.75" x14ac:dyDescent="0.25">
      <c r="A2" s="61" t="s">
        <v>1670</v>
      </c>
      <c r="B2" s="62"/>
      <c r="C2" s="62"/>
    </row>
    <row r="5" spans="1:16" s="8" customFormat="1" ht="30" customHeight="1" x14ac:dyDescent="0.25">
      <c r="A5" s="9" t="s">
        <v>0</v>
      </c>
      <c r="B5" s="9" t="s">
        <v>1</v>
      </c>
      <c r="C5" s="9" t="s">
        <v>2</v>
      </c>
      <c r="D5" s="9" t="s">
        <v>3</v>
      </c>
      <c r="E5" s="9" t="s">
        <v>4</v>
      </c>
      <c r="F5" s="9" t="s">
        <v>5</v>
      </c>
      <c r="G5" s="9" t="s">
        <v>6</v>
      </c>
      <c r="H5" s="9" t="s">
        <v>7</v>
      </c>
      <c r="I5" s="9" t="s">
        <v>8</v>
      </c>
      <c r="J5" s="9" t="s">
        <v>1468</v>
      </c>
      <c r="K5" s="9" t="s">
        <v>1469</v>
      </c>
      <c r="L5" s="9" t="s">
        <v>1470</v>
      </c>
      <c r="M5" s="9" t="s">
        <v>1471</v>
      </c>
      <c r="N5" s="9" t="s">
        <v>1472</v>
      </c>
      <c r="O5" s="9" t="s">
        <v>1473</v>
      </c>
      <c r="P5" s="9" t="s">
        <v>1477</v>
      </c>
    </row>
    <row r="6" spans="1:16" ht="30" customHeight="1" x14ac:dyDescent="0.25">
      <c r="A6" t="s">
        <v>449</v>
      </c>
      <c r="B6" s="2">
        <v>334130</v>
      </c>
      <c r="C6" t="s">
        <v>454</v>
      </c>
      <c r="D6" s="1" t="s">
        <v>89</v>
      </c>
      <c r="E6" t="b">
        <v>1</v>
      </c>
      <c r="F6" s="5">
        <v>112000</v>
      </c>
      <c r="G6" t="s">
        <v>94</v>
      </c>
      <c r="H6" t="s">
        <v>455</v>
      </c>
      <c r="I6" s="1" t="s">
        <v>456</v>
      </c>
      <c r="J6" s="21" t="str">
        <f>VLOOKUP(Table5[[#This Row],[Company ID]],'[1]Coordinator Notes'!$B:$C,2,FALSE)</f>
        <v>The coi held up because of a corporate reorganization reassigning document ownership. Contact is actively working it and apologized for the lag. New target is next week.</v>
      </c>
      <c r="K6" t="str">
        <f>VLOOKUP(Table5[[#This Row],[Company ID]],'[1]Coordinator Notes'!$B:$D,3,FALSE)</f>
        <v>Delayed</v>
      </c>
      <c r="L6" s="12" t="b">
        <f>IF(COUNTIF(M6:O6, TRUE) =3,TRUE, IF(COUNTIF(M6:O6,TRUE)&gt;=1,"RECEIVED", FALSE))</f>
        <v>0</v>
      </c>
      <c r="M6" s="26" t="b">
        <v>0</v>
      </c>
      <c r="N6" s="26" t="b">
        <v>0</v>
      </c>
      <c r="O6" s="26" t="b">
        <v>0</v>
      </c>
    </row>
    <row r="7" spans="1:16" ht="30" customHeight="1" x14ac:dyDescent="0.25">
      <c r="A7" t="s">
        <v>449</v>
      </c>
      <c r="B7" s="2">
        <v>541046</v>
      </c>
      <c r="C7" t="s">
        <v>569</v>
      </c>
      <c r="D7" s="1" t="s">
        <v>570</v>
      </c>
      <c r="E7" t="b">
        <v>0</v>
      </c>
      <c r="F7" s="5">
        <v>8100</v>
      </c>
      <c r="G7" t="s">
        <v>571</v>
      </c>
      <c r="H7" t="s">
        <v>572</v>
      </c>
      <c r="I7" s="1" t="s">
        <v>573</v>
      </c>
      <c r="J7" s="21" t="str">
        <f>VLOOKUP(Table5[[#This Row],[Company ID]],'[1]Coordinator Notes'!$B:$C,2,FALSE)</f>
        <v>Contact uploaded the COI; the Spend authorization and the W-9 to follow once signed. Communication has been solid. Next check-in next week.</v>
      </c>
      <c r="K7" t="str">
        <f>VLOOKUP(Table5[[#This Row],[Company ID]],'[1]Coordinator Notes'!$B:$D,3,FALSE)</f>
        <v>Received</v>
      </c>
      <c r="L7" s="12" t="str">
        <f t="shared" ref="L7:L37" si="0">IF(COUNTIF(M7:O7, TRUE) =3,TRUE, IF(COUNTIF(M7:O7,TRUE)&gt;=1,"RECEIVED", FALSE))</f>
        <v>RECEIVED</v>
      </c>
      <c r="M7" s="26" t="b">
        <v>1</v>
      </c>
      <c r="N7" s="26" t="b">
        <v>0</v>
      </c>
      <c r="O7" s="26" t="b">
        <v>0</v>
      </c>
    </row>
    <row r="8" spans="1:16" ht="30" customHeight="1" x14ac:dyDescent="0.25">
      <c r="A8" t="s">
        <v>449</v>
      </c>
      <c r="B8" s="2">
        <v>700381</v>
      </c>
      <c r="C8" t="s">
        <v>611</v>
      </c>
      <c r="D8" s="1" t="s">
        <v>446</v>
      </c>
      <c r="E8" t="b">
        <v>0</v>
      </c>
      <c r="F8" s="5">
        <v>26100</v>
      </c>
      <c r="G8" t="s">
        <v>98</v>
      </c>
      <c r="H8" t="s">
        <v>612</v>
      </c>
      <c r="I8" s="1" t="s">
        <v>613</v>
      </c>
      <c r="J8" s="21" t="str">
        <f>VLOOKUP(Table5[[#This Row],[Company ID]],'[1]Coordinator Notes'!$B:$C,2,FALSE)</f>
        <v>Progressing well: the W-9 accepted and logged. Outstanding item is the Spend authorization and the COI, which the contact expects by Thursday. Steady communication.</v>
      </c>
      <c r="K8" t="str">
        <f>VLOOKUP(Table5[[#This Row],[Company ID]],'[1]Coordinator Notes'!$B:$D,3,FALSE)</f>
        <v>Received</v>
      </c>
      <c r="L8" s="12" t="str">
        <f t="shared" si="0"/>
        <v>RECEIVED</v>
      </c>
      <c r="M8" s="26" t="b">
        <v>0</v>
      </c>
      <c r="N8" s="26" t="b">
        <v>1</v>
      </c>
      <c r="O8" s="26" t="b">
        <v>0</v>
      </c>
    </row>
    <row r="9" spans="1:16" ht="30" customHeight="1" x14ac:dyDescent="0.25">
      <c r="A9" t="s">
        <v>449</v>
      </c>
      <c r="B9" s="2">
        <v>905427</v>
      </c>
      <c r="C9" t="s">
        <v>473</v>
      </c>
      <c r="D9" s="1" t="s">
        <v>160</v>
      </c>
      <c r="E9" t="b">
        <v>1</v>
      </c>
      <c r="F9" s="5">
        <v>204500</v>
      </c>
      <c r="G9" t="s">
        <v>474</v>
      </c>
      <c r="H9" t="s">
        <v>475</v>
      </c>
      <c r="I9" s="1" t="s">
        <v>476</v>
      </c>
      <c r="J9" s="21" t="str">
        <f>VLOOKUP(Table5[[#This Row],[Company ID]],'[1]Coordinator Notes'!$B:$C,2,FALSE)</f>
        <v>First batch received: the COI and the W-9 logged and approved. Still awaiting the Spend authorization. Contact committed to finishing by Wednesday.</v>
      </c>
      <c r="K9" t="str">
        <f>VLOOKUP(Table5[[#This Row],[Company ID]],'[1]Coordinator Notes'!$B:$D,3,FALSE)</f>
        <v>Received</v>
      </c>
      <c r="L9" s="12" t="str">
        <f t="shared" si="0"/>
        <v>RECEIVED</v>
      </c>
      <c r="M9" s="26" t="b">
        <v>1</v>
      </c>
      <c r="N9" s="26" t="b">
        <v>0</v>
      </c>
      <c r="O9" s="26" t="b">
        <v>1</v>
      </c>
    </row>
    <row r="10" spans="1:16" ht="30" customHeight="1" x14ac:dyDescent="0.25">
      <c r="A10" t="s">
        <v>449</v>
      </c>
      <c r="B10" s="2">
        <v>910625</v>
      </c>
      <c r="C10" t="s">
        <v>646</v>
      </c>
      <c r="D10" s="1" t="s">
        <v>647</v>
      </c>
      <c r="E10" t="b">
        <v>0</v>
      </c>
      <c r="F10" s="5">
        <v>20000</v>
      </c>
      <c r="G10" t="s">
        <v>648</v>
      </c>
      <c r="H10" t="s">
        <v>649</v>
      </c>
      <c r="I10" s="1" t="s">
        <v>650</v>
      </c>
      <c r="J10" s="21" t="str">
        <f>VLOOKUP(Table5[[#This Row],[Company ID]],'[1]Coordinator Notes'!$B:$C,2,FALSE)</f>
        <v>The w-9 received and verified; the Spend authorization and the COI still outstanding. Contact confirmed the remainder will be submitted by Thursday. Following up then.</v>
      </c>
      <c r="K10" t="str">
        <f>VLOOKUP(Table5[[#This Row],[Company ID]],'[1]Coordinator Notes'!$B:$D,3,FALSE)</f>
        <v>Received</v>
      </c>
      <c r="L10" s="12" t="str">
        <f t="shared" si="0"/>
        <v>RECEIVED</v>
      </c>
      <c r="M10" s="26" t="b">
        <v>0</v>
      </c>
      <c r="N10" s="26" t="b">
        <v>1</v>
      </c>
      <c r="O10" s="26" t="b">
        <v>0</v>
      </c>
    </row>
    <row r="11" spans="1:16" ht="30" customHeight="1" x14ac:dyDescent="0.25">
      <c r="A11" t="s">
        <v>449</v>
      </c>
      <c r="B11" s="2">
        <v>351589</v>
      </c>
      <c r="C11" t="s">
        <v>461</v>
      </c>
      <c r="D11" s="1" t="s">
        <v>118</v>
      </c>
      <c r="E11" t="b">
        <v>1</v>
      </c>
      <c r="F11" s="5">
        <v>495000</v>
      </c>
      <c r="G11" t="s">
        <v>462</v>
      </c>
      <c r="H11" t="s">
        <v>463</v>
      </c>
      <c r="I11" s="1" t="s">
        <v>464</v>
      </c>
      <c r="J11" s="21" t="str">
        <f>VLOOKUP(Table5[[#This Row],[Company ID]],'[1]Coordinator Notes'!$B:$C,2,FALSE)</f>
        <v>Received and accepted the Spend authorization, closing out the packet. No exceptions in compliance review. Vendor status set to active.</v>
      </c>
      <c r="K11" t="str">
        <f>VLOOKUP(Table5[[#This Row],[Company ID]],'[1]Coordinator Notes'!$B:$D,3,FALSE)</f>
        <v>Completion</v>
      </c>
      <c r="L11" s="12" t="b">
        <f t="shared" si="0"/>
        <v>1</v>
      </c>
      <c r="M11" s="26" t="b">
        <v>1</v>
      </c>
      <c r="N11" s="26" t="b">
        <v>1</v>
      </c>
      <c r="O11" s="26" t="b">
        <v>1</v>
      </c>
    </row>
    <row r="12" spans="1:16" ht="30" customHeight="1" x14ac:dyDescent="0.25">
      <c r="A12" t="s">
        <v>449</v>
      </c>
      <c r="B12" s="2">
        <v>216115</v>
      </c>
      <c r="C12" t="s">
        <v>586</v>
      </c>
      <c r="D12" s="1" t="s">
        <v>587</v>
      </c>
      <c r="E12" t="b">
        <v>0</v>
      </c>
      <c r="F12" s="5">
        <v>40900</v>
      </c>
      <c r="G12" t="s">
        <v>588</v>
      </c>
      <c r="H12" t="s">
        <v>589</v>
      </c>
      <c r="I12" s="1" t="s">
        <v>590</v>
      </c>
      <c r="J12" s="21" t="str">
        <f>VLOOKUP(Table5[[#This Row],[Company ID]],'[1]Coordinator Notes'!$B:$C,2,FALSE)</f>
        <v>Progressing well: the COI accepted and logged. Outstanding item is the Spend authorization and the W-9, which the contact expects by next week. Steady communication.</v>
      </c>
      <c r="K12" t="str">
        <f>VLOOKUP(Table5[[#This Row],[Company ID]],'[1]Coordinator Notes'!$B:$D,3,FALSE)</f>
        <v>Received</v>
      </c>
      <c r="L12" s="12" t="str">
        <f t="shared" si="0"/>
        <v>RECEIVED</v>
      </c>
      <c r="M12" s="26" t="b">
        <v>1</v>
      </c>
      <c r="N12" s="26" t="b">
        <v>0</v>
      </c>
      <c r="O12" s="26" t="b">
        <v>0</v>
      </c>
    </row>
    <row r="13" spans="1:16" ht="30" customHeight="1" x14ac:dyDescent="0.25">
      <c r="A13" t="s">
        <v>449</v>
      </c>
      <c r="B13" s="2">
        <v>456929</v>
      </c>
      <c r="C13" t="s">
        <v>495</v>
      </c>
      <c r="D13" s="1" t="s">
        <v>211</v>
      </c>
      <c r="E13" t="b">
        <v>0</v>
      </c>
      <c r="F13" s="5">
        <v>9700</v>
      </c>
      <c r="G13" t="s">
        <v>496</v>
      </c>
      <c r="H13" t="s">
        <v>497</v>
      </c>
      <c r="I13" s="1" t="s">
        <v>498</v>
      </c>
      <c r="J13" s="21" t="str">
        <f>VLOOKUP(Table5[[#This Row],[Company ID]],'[1]Coordinator Notes'!$B:$C,2,FALSE)</f>
        <v>Packet complete after the COI was uploaded, closing the final open item. Documents were cross-checked against contract requirements and approved. Vendor moved to active status.</v>
      </c>
      <c r="K13" t="str">
        <f>VLOOKUP(Table5[[#This Row],[Company ID]],'[1]Coordinator Notes'!$B:$D,3,FALSE)</f>
        <v>Completion</v>
      </c>
      <c r="L13" s="12" t="b">
        <f t="shared" si="0"/>
        <v>1</v>
      </c>
      <c r="M13" s="26" t="b">
        <v>1</v>
      </c>
      <c r="N13" s="26" t="b">
        <v>1</v>
      </c>
      <c r="O13" s="26" t="b">
        <v>1</v>
      </c>
    </row>
    <row r="14" spans="1:16" ht="30" customHeight="1" x14ac:dyDescent="0.25">
      <c r="A14" t="s">
        <v>449</v>
      </c>
      <c r="B14" s="2">
        <v>579668</v>
      </c>
      <c r="C14" t="s">
        <v>621</v>
      </c>
      <c r="D14" s="1" t="s">
        <v>622</v>
      </c>
      <c r="E14" t="b">
        <v>0</v>
      </c>
      <c r="F14" s="5">
        <v>100300</v>
      </c>
      <c r="G14" t="s">
        <v>623</v>
      </c>
      <c r="H14" t="s">
        <v>624</v>
      </c>
      <c r="I14" s="1" t="s">
        <v>625</v>
      </c>
      <c r="J14" s="21" t="str">
        <f>VLOOKUP(Table5[[#This Row],[Company ID]],'[1]Coordinator Notes'!$B:$C,2,FALSE)</f>
        <v>Replies are sporadic and often incomplete, slowing everything down. Still awaiting all required documents. Setting a firm deadline in the next message.</v>
      </c>
      <c r="K14" t="str">
        <f>VLOOKUP(Table5[[#This Row],[Company ID]],'[1]Coordinator Notes'!$B:$D,3,FALSE)</f>
        <v>Poor Communication</v>
      </c>
      <c r="L14" s="12" t="b">
        <f t="shared" si="0"/>
        <v>0</v>
      </c>
      <c r="M14" s="26" t="b">
        <v>0</v>
      </c>
      <c r="N14" s="26" t="b">
        <v>0</v>
      </c>
      <c r="O14" s="26" t="b">
        <v>0</v>
      </c>
    </row>
    <row r="15" spans="1:16" ht="30" customHeight="1" x14ac:dyDescent="0.25">
      <c r="A15" t="s">
        <v>449</v>
      </c>
      <c r="B15" s="2">
        <v>776116</v>
      </c>
      <c r="C15" t="s">
        <v>499</v>
      </c>
      <c r="D15" s="1" t="s">
        <v>211</v>
      </c>
      <c r="E15" t="b">
        <v>0</v>
      </c>
      <c r="F15" s="5">
        <v>35900</v>
      </c>
      <c r="G15" t="s">
        <v>500</v>
      </c>
      <c r="H15" t="s">
        <v>501</v>
      </c>
      <c r="I15" s="1" t="s">
        <v>502</v>
      </c>
      <c r="J15" s="21" t="str">
        <f>VLOOKUP(Table5[[#This Row],[Company ID]],'[1]Coordinator Notes'!$B:$C,2,FALSE)</f>
        <v>Partial packet in — the COI on file and within requirements. Awaiting the Spend authorization and the W-9 from the vendor's team. Reminder set for next week.</v>
      </c>
      <c r="K15" t="str">
        <f>VLOOKUP(Table5[[#This Row],[Company ID]],'[1]Coordinator Notes'!$B:$D,3,FALSE)</f>
        <v>Received</v>
      </c>
      <c r="L15" s="12" t="str">
        <f t="shared" si="0"/>
        <v>RECEIVED</v>
      </c>
      <c r="M15" s="26" t="b">
        <v>1</v>
      </c>
      <c r="N15" s="26" t="b">
        <v>0</v>
      </c>
      <c r="O15" s="26" t="b">
        <v>0</v>
      </c>
    </row>
    <row r="16" spans="1:16" ht="30" customHeight="1" x14ac:dyDescent="0.25">
      <c r="A16" t="s">
        <v>449</v>
      </c>
      <c r="B16" s="2">
        <v>486761</v>
      </c>
      <c r="C16" t="s">
        <v>630</v>
      </c>
      <c r="D16" s="1" t="s">
        <v>230</v>
      </c>
      <c r="E16" t="b">
        <v>0</v>
      </c>
      <c r="F16" s="5">
        <v>41900</v>
      </c>
      <c r="G16" t="s">
        <v>631</v>
      </c>
      <c r="H16" t="s">
        <v>632</v>
      </c>
      <c r="I16" s="1" t="s">
        <v>633</v>
      </c>
      <c r="J16" s="21" t="str">
        <f>VLOOKUP(Table5[[#This Row],[Company ID]],'[1]Coordinator Notes'!$B:$C,2,FALSE)</f>
        <v>Contact has gone quiet after an initial acknowledgment; recent emails are unanswered. No documents received yet. Attempting a call and considering escalation.</v>
      </c>
      <c r="K16" t="str">
        <f>VLOOKUP(Table5[[#This Row],[Company ID]],'[1]Coordinator Notes'!$B:$D,3,FALSE)</f>
        <v>Poor Communication</v>
      </c>
      <c r="L16" s="12" t="b">
        <f t="shared" si="0"/>
        <v>0</v>
      </c>
      <c r="M16" s="26" t="b">
        <v>0</v>
      </c>
      <c r="N16" s="26" t="b">
        <v>0</v>
      </c>
      <c r="O16" s="26" t="b">
        <v>0</v>
      </c>
    </row>
    <row r="17" spans="1:15" ht="30" customHeight="1" x14ac:dyDescent="0.25">
      <c r="A17" t="s">
        <v>449</v>
      </c>
      <c r="B17" s="2">
        <v>583469</v>
      </c>
      <c r="C17" t="s">
        <v>469</v>
      </c>
      <c r="D17" s="1" t="s">
        <v>143</v>
      </c>
      <c r="E17" t="b">
        <v>1</v>
      </c>
      <c r="F17" s="5">
        <v>90000</v>
      </c>
      <c r="G17" t="s">
        <v>470</v>
      </c>
      <c r="H17" t="s">
        <v>471</v>
      </c>
      <c r="I17" s="1" t="s">
        <v>472</v>
      </c>
      <c r="J17" s="21" t="str">
        <f>VLOOKUP(Table5[[#This Row],[Company ID]],'[1]Coordinator Notes'!$B:$C,2,FALSE)</f>
        <v>Submission of the COI stalled because of a pending budget approval on the vendor's end. Contact remains responsive despite the holdup. Re-checking Tuesday.</v>
      </c>
      <c r="K17" t="str">
        <f>VLOOKUP(Table5[[#This Row],[Company ID]],'[1]Coordinator Notes'!$B:$D,3,FALSE)</f>
        <v>Delayed</v>
      </c>
      <c r="L17" s="12" t="b">
        <f t="shared" si="0"/>
        <v>0</v>
      </c>
      <c r="M17" s="26" t="b">
        <v>0</v>
      </c>
      <c r="N17" s="26" t="b">
        <v>0</v>
      </c>
      <c r="O17" s="26" t="b">
        <v>0</v>
      </c>
    </row>
    <row r="18" spans="1:15" ht="30" customHeight="1" x14ac:dyDescent="0.25">
      <c r="A18" t="s">
        <v>449</v>
      </c>
      <c r="B18" s="2">
        <v>941533</v>
      </c>
      <c r="C18" t="s">
        <v>519</v>
      </c>
      <c r="D18" s="1" t="s">
        <v>520</v>
      </c>
      <c r="E18" t="b">
        <v>0</v>
      </c>
      <c r="F18" s="5">
        <v>72900</v>
      </c>
      <c r="G18" t="s">
        <v>521</v>
      </c>
      <c r="H18" t="s">
        <v>522</v>
      </c>
      <c r="I18" s="1" t="s">
        <v>523</v>
      </c>
      <c r="J18" s="21" t="str">
        <f>VLOOKUP(Table5[[#This Row],[Company ID]],'[1]Coordinator Notes'!$B:$C,2,FALSE)</f>
        <v>Received and accepted the Spend authorization, closing out the packet. No exceptions in compliance review. Vendor status set to active.</v>
      </c>
      <c r="K18" t="str">
        <f>VLOOKUP(Table5[[#This Row],[Company ID]],'[1]Coordinator Notes'!$B:$D,3,FALSE)</f>
        <v>Completion</v>
      </c>
      <c r="L18" s="12" t="b">
        <f t="shared" si="0"/>
        <v>1</v>
      </c>
      <c r="M18" s="26" t="b">
        <v>1</v>
      </c>
      <c r="N18" s="26" t="b">
        <v>1</v>
      </c>
      <c r="O18" s="26" t="b">
        <v>1</v>
      </c>
    </row>
    <row r="19" spans="1:15" ht="30" customHeight="1" x14ac:dyDescent="0.25">
      <c r="A19" t="s">
        <v>449</v>
      </c>
      <c r="B19" s="2">
        <v>729318</v>
      </c>
      <c r="C19" t="s">
        <v>536</v>
      </c>
      <c r="D19" s="1" t="s">
        <v>216</v>
      </c>
      <c r="E19" t="b">
        <v>0</v>
      </c>
      <c r="F19" s="5">
        <v>66100</v>
      </c>
      <c r="G19" t="s">
        <v>537</v>
      </c>
      <c r="H19" t="s">
        <v>538</v>
      </c>
      <c r="I19" s="1" t="s">
        <v>539</v>
      </c>
      <c r="J19" s="21" t="str">
        <f>VLOOKUP(Table5[[#This Row],[Company ID]],'[1]Coordinator Notes'!$B:$C,2,FALSE)</f>
        <v>First batch received: the COI and the W-9 logged and approved. Still awaiting the Spend authorization. Contact committed to finishing by Tuesday.</v>
      </c>
      <c r="K19" t="str">
        <f>VLOOKUP(Table5[[#This Row],[Company ID]],'[1]Coordinator Notes'!$B:$D,3,FALSE)</f>
        <v>Received</v>
      </c>
      <c r="L19" s="12" t="str">
        <f t="shared" si="0"/>
        <v>RECEIVED</v>
      </c>
      <c r="M19" s="26" t="b">
        <v>1</v>
      </c>
      <c r="N19" s="26" t="b">
        <v>1</v>
      </c>
      <c r="O19" s="26" t="b">
        <v>0</v>
      </c>
    </row>
    <row r="20" spans="1:15" ht="30" customHeight="1" x14ac:dyDescent="0.25">
      <c r="A20" t="s">
        <v>449</v>
      </c>
      <c r="B20" s="2">
        <v>371207</v>
      </c>
      <c r="C20" t="s">
        <v>551</v>
      </c>
      <c r="D20" s="1" t="s">
        <v>221</v>
      </c>
      <c r="E20" t="b">
        <v>0</v>
      </c>
      <c r="F20" s="5">
        <v>20700</v>
      </c>
      <c r="G20" t="s">
        <v>202</v>
      </c>
      <c r="H20" t="s">
        <v>552</v>
      </c>
      <c r="I20" s="1" t="s">
        <v>553</v>
      </c>
      <c r="J20" s="21" t="str">
        <f>VLOOKUP(Table5[[#This Row],[Company ID]],'[1]Coordinator Notes'!$B:$C,2,FALSE)</f>
        <v>The coi pushed back owing to a pending budget approval on the vendor's end. The rest of the packet is fine. Expecting resolution by Wednesday.</v>
      </c>
      <c r="K20" t="str">
        <f>VLOOKUP(Table5[[#This Row],[Company ID]],'[1]Coordinator Notes'!$B:$D,3,FALSE)</f>
        <v>Delayed</v>
      </c>
      <c r="L20" s="12" t="b">
        <f t="shared" si="0"/>
        <v>0</v>
      </c>
      <c r="M20" s="26" t="b">
        <v>0</v>
      </c>
      <c r="N20" s="26" t="b">
        <v>0</v>
      </c>
      <c r="O20" s="26" t="b">
        <v>0</v>
      </c>
    </row>
    <row r="21" spans="1:15" ht="30" customHeight="1" x14ac:dyDescent="0.25">
      <c r="A21" t="s">
        <v>449</v>
      </c>
      <c r="B21" s="2">
        <v>691396</v>
      </c>
      <c r="C21" t="s">
        <v>480</v>
      </c>
      <c r="D21" s="20" t="s">
        <v>206</v>
      </c>
      <c r="E21" t="b">
        <v>0</v>
      </c>
      <c r="F21" s="5">
        <v>115700</v>
      </c>
      <c r="G21" t="s">
        <v>481</v>
      </c>
      <c r="H21" t="s">
        <v>482</v>
      </c>
      <c r="I21" s="1" t="s">
        <v>483</v>
      </c>
      <c r="J21" s="21" t="str">
        <f>VLOOKUP(Table5[[#This Row],[Company ID]],'[1]Coordinator Notes'!$B:$C,2,FALSE)</f>
        <v>Full document set received and reconciled against the master vendor record; the W-9 needed a quick correction, now resolved. No further discrepancies found. Onboarding officially complete.</v>
      </c>
      <c r="K21" t="str">
        <f>VLOOKUP(Table5[[#This Row],[Company ID]],'[1]Coordinator Notes'!$B:$D,3,FALSE)</f>
        <v>Completion</v>
      </c>
      <c r="L21" s="12" t="b">
        <f t="shared" si="0"/>
        <v>1</v>
      </c>
      <c r="M21" s="26" t="b">
        <v>1</v>
      </c>
      <c r="N21" s="26" t="b">
        <v>1</v>
      </c>
      <c r="O21" s="26" t="b">
        <v>1</v>
      </c>
    </row>
    <row r="22" spans="1:15" ht="30" customHeight="1" x14ac:dyDescent="0.25">
      <c r="A22" t="s">
        <v>449</v>
      </c>
      <c r="B22" s="2">
        <v>703472</v>
      </c>
      <c r="C22" t="s">
        <v>503</v>
      </c>
      <c r="D22" s="1" t="s">
        <v>211</v>
      </c>
      <c r="E22" t="b">
        <v>0</v>
      </c>
      <c r="F22" s="5">
        <v>6800</v>
      </c>
      <c r="G22" t="s">
        <v>504</v>
      </c>
      <c r="H22" t="s">
        <v>505</v>
      </c>
      <c r="I22" s="1" t="s">
        <v>506</v>
      </c>
      <c r="J22" s="21" t="str">
        <f>VLOOKUP(Table5[[#This Row],[Company ID]],'[1]Coordinator Notes'!$B:$C,2,FALSE)</f>
        <v>Good progress — the COI and the W-9 confirmed and filed. The spend authorization sits in the vendor's internal approval queue, expected by Tuesday. No concerns yet.</v>
      </c>
      <c r="K22" t="str">
        <f>VLOOKUP(Table5[[#This Row],[Company ID]],'[1]Coordinator Notes'!$B:$D,3,FALSE)</f>
        <v>Received</v>
      </c>
      <c r="L22" s="12" t="str">
        <f t="shared" si="0"/>
        <v>RECEIVED</v>
      </c>
      <c r="M22" s="26" t="b">
        <v>1</v>
      </c>
      <c r="N22" s="26" t="b">
        <v>1</v>
      </c>
      <c r="O22" s="26" t="b">
        <v>0</v>
      </c>
    </row>
    <row r="23" spans="1:15" ht="30" customHeight="1" x14ac:dyDescent="0.25">
      <c r="A23" t="s">
        <v>449</v>
      </c>
      <c r="B23" s="2">
        <v>903027</v>
      </c>
      <c r="C23" t="s">
        <v>540</v>
      </c>
      <c r="D23" s="1" t="s">
        <v>216</v>
      </c>
      <c r="E23" t="b">
        <v>0</v>
      </c>
      <c r="F23" s="5">
        <v>70200</v>
      </c>
      <c r="G23" t="s">
        <v>541</v>
      </c>
      <c r="H23" t="s">
        <v>542</v>
      </c>
      <c r="I23" s="1" t="s">
        <v>543</v>
      </c>
      <c r="J23" s="21" t="str">
        <f>VLOOKUP(Table5[[#This Row],[Company ID]],'[1]Coordinator Notes'!$B:$C,2,FALSE)</f>
        <v>Received the COI through the portal today; the Spend authorization and the W-9 still pending. Contact acknowledged the request and is gathering the paperwork. Checking back next week.</v>
      </c>
      <c r="K23" t="str">
        <f>VLOOKUP(Table5[[#This Row],[Company ID]],'[1]Coordinator Notes'!$B:$D,3,FALSE)</f>
        <v>Received</v>
      </c>
      <c r="L23" s="12" t="str">
        <f t="shared" si="0"/>
        <v>RECEIVED</v>
      </c>
      <c r="M23" s="26" t="b">
        <v>1</v>
      </c>
      <c r="N23" s="26" t="b">
        <v>0</v>
      </c>
      <c r="O23" s="26" t="b">
        <v>0</v>
      </c>
    </row>
    <row r="24" spans="1:15" ht="30" customHeight="1" x14ac:dyDescent="0.25">
      <c r="A24" t="s">
        <v>449</v>
      </c>
      <c r="B24" s="2">
        <v>648632</v>
      </c>
      <c r="C24" t="s">
        <v>651</v>
      </c>
      <c r="D24" s="1" t="s">
        <v>647</v>
      </c>
      <c r="E24" t="b">
        <v>0</v>
      </c>
      <c r="F24" s="5">
        <v>33800</v>
      </c>
      <c r="G24" t="s">
        <v>652</v>
      </c>
      <c r="H24" t="s">
        <v>653</v>
      </c>
      <c r="I24" s="1" t="s">
        <v>654</v>
      </c>
      <c r="J24" s="21" t="str">
        <f>VLOOKUP(Table5[[#This Row],[Company ID]],'[1]Coordinator Notes'!$B:$C,2,FALSE)</f>
        <v>Contact unresponsive to the last several messages, and the voicemail box is full. Requesting an alternate point of contact from the vendor. Noted for escalation.</v>
      </c>
      <c r="K24" t="str">
        <f>VLOOKUP(Table5[[#This Row],[Company ID]],'[1]Coordinator Notes'!$B:$D,3,FALSE)</f>
        <v>Poor Communication</v>
      </c>
      <c r="L24" s="12" t="b">
        <f t="shared" si="0"/>
        <v>0</v>
      </c>
      <c r="M24" s="26" t="b">
        <v>0</v>
      </c>
      <c r="N24" s="26" t="b">
        <v>0</v>
      </c>
      <c r="O24" s="26" t="b">
        <v>0</v>
      </c>
    </row>
    <row r="25" spans="1:15" ht="30" customHeight="1" x14ac:dyDescent="0.25">
      <c r="A25" t="s">
        <v>449</v>
      </c>
      <c r="B25" s="2">
        <v>849231</v>
      </c>
      <c r="C25" t="s">
        <v>626</v>
      </c>
      <c r="D25" s="1" t="s">
        <v>622</v>
      </c>
      <c r="E25" t="b">
        <v>0</v>
      </c>
      <c r="F25" s="5">
        <v>82500</v>
      </c>
      <c r="G25" t="s">
        <v>627</v>
      </c>
      <c r="H25" t="s">
        <v>628</v>
      </c>
      <c r="I25" s="1" t="s">
        <v>629</v>
      </c>
      <c r="J25" s="21" t="str">
        <f>VLOOKUP(Table5[[#This Row],[Company ID]],'[1]Coordinator Notes'!$B:$C,2,FALSE)</f>
        <v>All three required documents were approved on first pass, the W-9 included. The Certificate of Insurance names the arena as additional insured, as required. Vendor is good to go.</v>
      </c>
      <c r="K25" t="str">
        <f>VLOOKUP(Table5[[#This Row],[Company ID]],'[1]Coordinator Notes'!$B:$D,3,FALSE)</f>
        <v>Completion</v>
      </c>
      <c r="L25" s="12" t="b">
        <f t="shared" si="0"/>
        <v>1</v>
      </c>
      <c r="M25" s="26" t="b">
        <v>1</v>
      </c>
      <c r="N25" s="26" t="b">
        <v>1</v>
      </c>
      <c r="O25" s="26" t="b">
        <v>1</v>
      </c>
    </row>
    <row r="26" spans="1:15" ht="30" customHeight="1" x14ac:dyDescent="0.25">
      <c r="A26" t="s">
        <v>449</v>
      </c>
      <c r="B26" s="2">
        <v>686988</v>
      </c>
      <c r="C26" t="s">
        <v>558</v>
      </c>
      <c r="D26" s="1" t="s">
        <v>437</v>
      </c>
      <c r="E26" t="b">
        <v>0</v>
      </c>
      <c r="F26" s="5">
        <v>3000</v>
      </c>
      <c r="G26" t="s">
        <v>186</v>
      </c>
      <c r="H26" t="s">
        <v>559</v>
      </c>
      <c r="I26" s="1" t="s">
        <v>560</v>
      </c>
      <c r="J26" s="21" t="str">
        <f>VLOOKUP(Table5[[#This Row],[Company ID]],'[1]Coordinator Notes'!$B:$C,2,FALSE)</f>
        <v>The spend authorization is delayed due to a pending budget approval on the vendor's end. A short extension was granted and acknowledged. Will re-check status by Wednesday.</v>
      </c>
      <c r="K26" t="str">
        <f>VLOOKUP(Table5[[#This Row],[Company ID]],'[1]Coordinator Notes'!$B:$D,3,FALSE)</f>
        <v>Delayed</v>
      </c>
      <c r="L26" s="12" t="b">
        <f t="shared" si="0"/>
        <v>0</v>
      </c>
      <c r="M26" s="26" t="b">
        <v>0</v>
      </c>
      <c r="N26" s="26" t="b">
        <v>0</v>
      </c>
      <c r="O26" s="26" t="b">
        <v>0</v>
      </c>
    </row>
    <row r="27" spans="1:15" ht="30" customHeight="1" x14ac:dyDescent="0.25">
      <c r="A27" t="s">
        <v>449</v>
      </c>
      <c r="B27" s="2">
        <v>802287</v>
      </c>
      <c r="C27" t="s">
        <v>655</v>
      </c>
      <c r="D27" s="1" t="s">
        <v>647</v>
      </c>
      <c r="E27" t="b">
        <v>0</v>
      </c>
      <c r="F27" s="5">
        <v>18900</v>
      </c>
      <c r="G27" t="s">
        <v>656</v>
      </c>
      <c r="H27" t="s">
        <v>657</v>
      </c>
      <c r="I27" s="1" t="s">
        <v>658</v>
      </c>
      <c r="J27" s="21" t="str">
        <f>VLOOKUP(Table5[[#This Row],[Company ID]],'[1]Coordinator Notes'!$B:$C,2,FALSE)</f>
        <v>The coi is delayed due to an unexpected staffing gap after the contact went on leave. A short extension was granted and acknowledged. Will re-check status by Friday.</v>
      </c>
      <c r="K27" t="str">
        <f>VLOOKUP(Table5[[#This Row],[Company ID]],'[1]Coordinator Notes'!$B:$D,3,FALSE)</f>
        <v>Delayed</v>
      </c>
      <c r="L27" s="12" t="b">
        <f t="shared" si="0"/>
        <v>0</v>
      </c>
      <c r="M27" s="26" t="b">
        <v>0</v>
      </c>
      <c r="N27" s="26" t="b">
        <v>0</v>
      </c>
      <c r="O27" s="26" t="b">
        <v>0</v>
      </c>
    </row>
    <row r="28" spans="1:15" ht="30" customHeight="1" x14ac:dyDescent="0.25">
      <c r="A28" t="s">
        <v>449</v>
      </c>
      <c r="B28" s="2">
        <v>422570</v>
      </c>
      <c r="C28" t="s">
        <v>561</v>
      </c>
      <c r="D28" s="1" t="s">
        <v>437</v>
      </c>
      <c r="E28" t="b">
        <v>0</v>
      </c>
      <c r="F28" s="5">
        <v>34600</v>
      </c>
      <c r="G28" t="s">
        <v>562</v>
      </c>
      <c r="H28" t="s">
        <v>563</v>
      </c>
      <c r="I28" s="1" t="s">
        <v>564</v>
      </c>
      <c r="J28" s="21" t="str">
        <f>VLOOKUP(Table5[[#This Row],[Company ID]],'[1]Coordinator Notes'!$B:$C,2,FALSE)</f>
        <v>The spend authorization received and verified; the W-9 and the COI still outstanding. Contact confirmed the remainder will be submitted by Monday. Following up then.</v>
      </c>
      <c r="K28" t="str">
        <f>VLOOKUP(Table5[[#This Row],[Company ID]],'[1]Coordinator Notes'!$B:$D,3,FALSE)</f>
        <v>Received</v>
      </c>
      <c r="L28" s="12" t="str">
        <f t="shared" si="0"/>
        <v>RECEIVED</v>
      </c>
      <c r="M28" s="26" t="b">
        <v>0</v>
      </c>
      <c r="N28" s="26" t="b">
        <v>0</v>
      </c>
      <c r="O28" s="26" t="b">
        <v>1</v>
      </c>
    </row>
    <row r="29" spans="1:15" ht="30" customHeight="1" x14ac:dyDescent="0.25">
      <c r="A29" t="s">
        <v>449</v>
      </c>
      <c r="B29" s="2">
        <v>943992</v>
      </c>
      <c r="C29" t="s">
        <v>544</v>
      </c>
      <c r="D29" s="1" t="s">
        <v>216</v>
      </c>
      <c r="E29" t="b">
        <v>0</v>
      </c>
      <c r="F29" s="5">
        <v>67600</v>
      </c>
      <c r="G29" t="s">
        <v>545</v>
      </c>
      <c r="H29" t="s">
        <v>546</v>
      </c>
      <c r="I29" s="1" t="s">
        <v>547</v>
      </c>
      <c r="J29" s="21" t="str">
        <f>VLOOKUP(Table5[[#This Row],[Company ID]],'[1]Coordinator Notes'!$B:$C,2,FALSE)</f>
        <v>Progressing well: the COI and the W-9 accepted and logged. Outstanding item is the Spend authorization, which the contact expects by Thursday. Steady communication.</v>
      </c>
      <c r="K29" t="str">
        <f>VLOOKUP(Table5[[#This Row],[Company ID]],'[1]Coordinator Notes'!$B:$D,3,FALSE)</f>
        <v>Received</v>
      </c>
      <c r="L29" s="12" t="str">
        <f t="shared" si="0"/>
        <v>RECEIVED</v>
      </c>
      <c r="M29" s="26" t="b">
        <v>1</v>
      </c>
      <c r="N29" s="26" t="b">
        <v>1</v>
      </c>
      <c r="O29" s="26" t="b">
        <v>0</v>
      </c>
    </row>
    <row r="30" spans="1:15" ht="30" customHeight="1" x14ac:dyDescent="0.25">
      <c r="A30" t="s">
        <v>449</v>
      </c>
      <c r="B30" s="2">
        <v>726286</v>
      </c>
      <c r="C30" t="s">
        <v>484</v>
      </c>
      <c r="D30" s="20" t="s">
        <v>206</v>
      </c>
      <c r="E30" t="b">
        <v>0</v>
      </c>
      <c r="F30" s="5">
        <v>21600</v>
      </c>
      <c r="G30" t="s">
        <v>485</v>
      </c>
      <c r="H30" t="s">
        <v>486</v>
      </c>
      <c r="I30" s="1" t="s">
        <v>487</v>
      </c>
      <c r="J30" s="21" t="str">
        <f>VLOOKUP(Table5[[#This Row],[Company ID]],'[1]Coordinator Notes'!$B:$C,2,FALSE)</f>
        <v>Confirmed all required paperwork on file once the COI came through the portal. Insurance limits and tax details verified. Onboarding closed out.</v>
      </c>
      <c r="K30" t="str">
        <f>VLOOKUP(Table5[[#This Row],[Company ID]],'[1]Coordinator Notes'!$B:$D,3,FALSE)</f>
        <v>Completion</v>
      </c>
      <c r="L30" s="12" t="b">
        <f t="shared" si="0"/>
        <v>1</v>
      </c>
      <c r="M30" s="26" t="b">
        <v>1</v>
      </c>
      <c r="N30" s="26" t="b">
        <v>1</v>
      </c>
      <c r="O30" s="26" t="b">
        <v>1</v>
      </c>
    </row>
    <row r="31" spans="1:15" ht="30" customHeight="1" x14ac:dyDescent="0.25">
      <c r="A31" t="s">
        <v>449</v>
      </c>
      <c r="B31" s="2">
        <v>923220</v>
      </c>
      <c r="C31" t="s">
        <v>614</v>
      </c>
      <c r="D31" s="1" t="s">
        <v>446</v>
      </c>
      <c r="E31" t="b">
        <v>0</v>
      </c>
      <c r="F31" s="5">
        <v>1200</v>
      </c>
      <c r="G31" t="s">
        <v>615</v>
      </c>
      <c r="H31" t="s">
        <v>616</v>
      </c>
      <c r="I31" s="1" t="s">
        <v>617</v>
      </c>
      <c r="J31" s="21" t="str">
        <f>VLOOKUP(Table5[[#This Row],[Company ID]],'[1]Coordinator Notes'!$B:$C,2,FALSE)</f>
        <v>Submission of the COI stalled because of a holiday closure at the vendor's corporate office. Contact remains responsive despite the holdup. Re-checking Tuesday.</v>
      </c>
      <c r="K31" t="str">
        <f>VLOOKUP(Table5[[#This Row],[Company ID]],'[1]Coordinator Notes'!$B:$D,3,FALSE)</f>
        <v>Delayed</v>
      </c>
      <c r="L31" s="12" t="b">
        <f t="shared" si="0"/>
        <v>0</v>
      </c>
      <c r="M31" s="26" t="b">
        <v>0</v>
      </c>
      <c r="N31" s="26" t="b">
        <v>0</v>
      </c>
      <c r="O31" s="26" t="b">
        <v>0</v>
      </c>
    </row>
    <row r="32" spans="1:15" ht="30" customHeight="1" x14ac:dyDescent="0.25">
      <c r="A32" t="s">
        <v>449</v>
      </c>
      <c r="B32" s="2">
        <v>371404</v>
      </c>
      <c r="C32" t="s">
        <v>528</v>
      </c>
      <c r="D32" s="1" t="s">
        <v>419</v>
      </c>
      <c r="E32" t="b">
        <v>0</v>
      </c>
      <c r="F32" s="5">
        <v>82000</v>
      </c>
      <c r="G32" t="s">
        <v>529</v>
      </c>
      <c r="H32" t="s">
        <v>530</v>
      </c>
      <c r="I32" s="1" t="s">
        <v>531</v>
      </c>
      <c r="J32" s="21" t="str">
        <f>VLOOKUP(Table5[[#This Row],[Company ID]],'[1]Coordinator Notes'!$B:$C,2,FALSE)</f>
        <v>Confirmed all required paperwork on file once the W-9 came through the portal. Insurance limits and tax details verified. Onboarding closed out.</v>
      </c>
      <c r="K32" t="str">
        <f>VLOOKUP(Table5[[#This Row],[Company ID]],'[1]Coordinator Notes'!$B:$D,3,FALSE)</f>
        <v>Completion</v>
      </c>
      <c r="L32" s="12" t="b">
        <f t="shared" si="0"/>
        <v>1</v>
      </c>
      <c r="M32" s="26" t="b">
        <v>1</v>
      </c>
      <c r="N32" s="26" t="b">
        <v>1</v>
      </c>
      <c r="O32" s="26" t="b">
        <v>1</v>
      </c>
    </row>
    <row r="33" spans="1:15" ht="30" customHeight="1" x14ac:dyDescent="0.25">
      <c r="A33" t="s">
        <v>449</v>
      </c>
      <c r="B33" s="2">
        <v>983362</v>
      </c>
      <c r="C33" t="s">
        <v>602</v>
      </c>
      <c r="D33" s="1" t="s">
        <v>603</v>
      </c>
      <c r="E33" t="b">
        <v>0</v>
      </c>
      <c r="F33" s="5">
        <v>35700</v>
      </c>
      <c r="G33" t="s">
        <v>604</v>
      </c>
      <c r="H33" t="s">
        <v>605</v>
      </c>
      <c r="I33" s="1" t="s">
        <v>606</v>
      </c>
      <c r="J33" s="21" t="str">
        <f>VLOOKUP(Table5[[#This Row],[Company ID]],'[1]Coordinator Notes'!$B:$C,2,FALSE)</f>
        <v>Third outreach attempt with no response from the contact. Voicemail left and a follow-up email sent requesting the outstanding documents. Escalating to a backup contact if no reply by Friday.</v>
      </c>
      <c r="K33" t="str">
        <f>VLOOKUP(Table5[[#This Row],[Company ID]],'[1]Coordinator Notes'!$B:$D,3,FALSE)</f>
        <v>Poor Communication</v>
      </c>
      <c r="L33" s="12" t="b">
        <f t="shared" si="0"/>
        <v>0</v>
      </c>
      <c r="M33" s="26" t="b">
        <v>0</v>
      </c>
      <c r="N33" s="26" t="b">
        <v>0</v>
      </c>
      <c r="O33" s="26" t="b">
        <v>0</v>
      </c>
    </row>
    <row r="34" spans="1:15" ht="30" customHeight="1" x14ac:dyDescent="0.25">
      <c r="A34" t="s">
        <v>449</v>
      </c>
      <c r="B34" s="2">
        <v>488108</v>
      </c>
      <c r="C34" t="s">
        <v>532</v>
      </c>
      <c r="D34" s="1" t="s">
        <v>419</v>
      </c>
      <c r="E34" t="b">
        <v>0</v>
      </c>
      <c r="F34" s="5">
        <v>141900</v>
      </c>
      <c r="G34" t="s">
        <v>533</v>
      </c>
      <c r="H34" t="s">
        <v>534</v>
      </c>
      <c r="I34" s="1" t="s">
        <v>535</v>
      </c>
      <c r="J34" s="21" t="str">
        <f>VLOOKUP(Table5[[#This Row],[Company ID]],'[1]Coordinator Notes'!$B:$C,2,FALSE)</f>
        <v>The spend authorization is delayed due to the contact's finance lead is out on PTO. A short extension was granted and acknowledged. Will re-check status by next week.</v>
      </c>
      <c r="K34" t="str">
        <f>VLOOKUP(Table5[[#This Row],[Company ID]],'[1]Coordinator Notes'!$B:$D,3,FALSE)</f>
        <v>Delayed</v>
      </c>
      <c r="L34" s="12" t="b">
        <f t="shared" si="0"/>
        <v>0</v>
      </c>
      <c r="M34" s="26" t="b">
        <v>0</v>
      </c>
      <c r="N34" s="26" t="b">
        <v>0</v>
      </c>
      <c r="O34" s="26" t="b">
        <v>0</v>
      </c>
    </row>
    <row r="35" spans="1:15" ht="30" customHeight="1" x14ac:dyDescent="0.25">
      <c r="A35" t="s">
        <v>449</v>
      </c>
      <c r="B35" s="2">
        <v>253468</v>
      </c>
      <c r="C35" t="s">
        <v>574</v>
      </c>
      <c r="D35" s="1" t="s">
        <v>570</v>
      </c>
      <c r="E35" t="b">
        <v>0</v>
      </c>
      <c r="F35" s="5">
        <v>71000</v>
      </c>
      <c r="G35" t="s">
        <v>575</v>
      </c>
      <c r="H35" t="s">
        <v>576</v>
      </c>
      <c r="I35" s="1" t="s">
        <v>577</v>
      </c>
      <c r="J35" s="21" t="str">
        <f>VLOOKUP(Table5[[#This Row],[Company ID]],'[1]Coordinator Notes'!$B:$C,2,FALSE)</f>
        <v>Full document set received and reconciled against the master vendor record; the W-9 needed a quick correction, now resolved. No further discrepancies found. Onboarding officially complete.</v>
      </c>
      <c r="K35" t="str">
        <f>VLOOKUP(Table5[[#This Row],[Company ID]],'[1]Coordinator Notes'!$B:$D,3,FALSE)</f>
        <v>Completion</v>
      </c>
      <c r="L35" s="12" t="b">
        <f t="shared" si="0"/>
        <v>1</v>
      </c>
      <c r="M35" s="26" t="b">
        <v>1</v>
      </c>
      <c r="N35" s="26" t="b">
        <v>1</v>
      </c>
      <c r="O35" s="26" t="b">
        <v>1</v>
      </c>
    </row>
    <row r="36" spans="1:15" ht="30" customHeight="1" x14ac:dyDescent="0.25">
      <c r="A36" t="s">
        <v>449</v>
      </c>
      <c r="B36" s="2">
        <v>226687</v>
      </c>
      <c r="C36" t="s">
        <v>465</v>
      </c>
      <c r="D36" s="1" t="s">
        <v>118</v>
      </c>
      <c r="E36" t="b">
        <v>1</v>
      </c>
      <c r="F36" s="5">
        <v>315300</v>
      </c>
      <c r="G36" t="s">
        <v>466</v>
      </c>
      <c r="H36" t="s">
        <v>467</v>
      </c>
      <c r="I36" s="1" t="s">
        <v>468</v>
      </c>
      <c r="J36" s="21" t="str">
        <f>VLOOKUP(Table5[[#This Row],[Company ID]],'[1]Coordinator Notes'!$B:$C,2,FALSE)</f>
        <v>Full document set received and reconciled against the master vendor record; the COI needed a quick correction, now resolved. No further discrepancies found. Onboarding officially complete.</v>
      </c>
      <c r="K36" t="str">
        <f>VLOOKUP(Table5[[#This Row],[Company ID]],'[1]Coordinator Notes'!$B:$D,3,FALSE)</f>
        <v>Completion</v>
      </c>
      <c r="L36" s="12" t="b">
        <f t="shared" si="0"/>
        <v>1</v>
      </c>
      <c r="M36" s="26" t="b">
        <v>1</v>
      </c>
      <c r="N36" s="26" t="b">
        <v>1</v>
      </c>
      <c r="O36" s="26" t="b">
        <v>1</v>
      </c>
    </row>
    <row r="37" spans="1:15" ht="30" customHeight="1" x14ac:dyDescent="0.25">
      <c r="A37" t="s">
        <v>449</v>
      </c>
      <c r="B37" s="2">
        <v>474604</v>
      </c>
      <c r="C37" t="s">
        <v>591</v>
      </c>
      <c r="D37" s="1" t="s">
        <v>587</v>
      </c>
      <c r="E37" t="b">
        <v>0</v>
      </c>
      <c r="F37" s="5">
        <v>76700</v>
      </c>
      <c r="G37" t="s">
        <v>592</v>
      </c>
      <c r="H37" t="s">
        <v>593</v>
      </c>
      <c r="I37" s="1" t="s">
        <v>594</v>
      </c>
      <c r="J37" s="21" t="str">
        <f>VLOOKUP(Table5[[#This Row],[Company ID]],'[1]Coordinator Notes'!$B:$C,2,FALSE)</f>
        <v>The w-9 and the spend authorization received and verified; the COI still outstanding. Contact confirmed the remainder will be submitted by Monday. Following up then.</v>
      </c>
      <c r="K37" t="str">
        <f>VLOOKUP(Table5[[#This Row],[Company ID]],'[1]Coordinator Notes'!$B:$D,3,FALSE)</f>
        <v>Received</v>
      </c>
      <c r="L37" s="12" t="str">
        <f t="shared" si="0"/>
        <v>RECEIVED</v>
      </c>
      <c r="M37" s="26" t="b">
        <v>0</v>
      </c>
      <c r="N37" s="26" t="b">
        <v>1</v>
      </c>
      <c r="O37" s="26" t="b">
        <v>1</v>
      </c>
    </row>
    <row r="38" spans="1:15" ht="30" customHeight="1" x14ac:dyDescent="0.25">
      <c r="A38" t="s">
        <v>449</v>
      </c>
      <c r="B38" s="2">
        <v>262278</v>
      </c>
      <c r="C38" t="s">
        <v>595</v>
      </c>
      <c r="D38" s="1" t="s">
        <v>587</v>
      </c>
      <c r="E38" t="b">
        <v>0</v>
      </c>
      <c r="F38" s="5">
        <v>85800</v>
      </c>
      <c r="G38" t="s">
        <v>596</v>
      </c>
      <c r="H38" t="s">
        <v>597</v>
      </c>
      <c r="I38" s="1" t="s">
        <v>598</v>
      </c>
      <c r="J38" s="21" t="str">
        <f>VLOOKUP(Table5[[#This Row],[Company ID]],'[1]Coordinator Notes'!$B:$C,2,FALSE)</f>
        <v>The coi received and verified; the W-9 and the Spend authorization still outstanding. Contact confirmed the remainder will be submitted by next week. Following up then.</v>
      </c>
      <c r="K38" t="str">
        <f>VLOOKUP(Table5[[#This Row],[Company ID]],'[1]Coordinator Notes'!$B:$D,3,FALSE)</f>
        <v>Received</v>
      </c>
      <c r="L38" s="12" t="str">
        <f t="shared" ref="L38:L58" si="1">IF(COUNTIF(M38:O38, TRUE) =3,TRUE, IF(COUNTIF(M38:O38,TRUE)&gt;=1,"RECEIVED", FALSE))</f>
        <v>RECEIVED</v>
      </c>
      <c r="M38" s="26" t="b">
        <v>1</v>
      </c>
      <c r="N38" s="26" t="b">
        <v>0</v>
      </c>
      <c r="O38" s="26" t="b">
        <v>0</v>
      </c>
    </row>
    <row r="39" spans="1:15" ht="30" customHeight="1" x14ac:dyDescent="0.25">
      <c r="A39" t="s">
        <v>449</v>
      </c>
      <c r="B39" s="2">
        <v>105380</v>
      </c>
      <c r="C39" t="s">
        <v>607</v>
      </c>
      <c r="D39" s="1" t="s">
        <v>603</v>
      </c>
      <c r="E39" t="b">
        <v>0</v>
      </c>
      <c r="F39" s="5">
        <v>53900</v>
      </c>
      <c r="G39" t="s">
        <v>608</v>
      </c>
      <c r="H39" t="s">
        <v>609</v>
      </c>
      <c r="I39" s="1" t="s">
        <v>610</v>
      </c>
      <c r="J39" s="21" t="str">
        <f>VLOOKUP(Table5[[#This Row],[Company ID]],'[1]Coordinator Notes'!$B:$C,2,FALSE)</f>
        <v>Contact uploaded the W-9; the Spend authorization and the COI to follow once signed. Communication has been solid. Next check-in Monday.</v>
      </c>
      <c r="K39" t="str">
        <f>VLOOKUP(Table5[[#This Row],[Company ID]],'[1]Coordinator Notes'!$B:$D,3,FALSE)</f>
        <v>Received</v>
      </c>
      <c r="L39" s="12" t="str">
        <f t="shared" si="1"/>
        <v>RECEIVED</v>
      </c>
      <c r="M39" s="26" t="b">
        <v>0</v>
      </c>
      <c r="N39" s="26" t="b">
        <v>1</v>
      </c>
      <c r="O39" s="26" t="b">
        <v>0</v>
      </c>
    </row>
    <row r="40" spans="1:15" ht="30" customHeight="1" x14ac:dyDescent="0.25">
      <c r="A40" t="s">
        <v>449</v>
      </c>
      <c r="B40" s="2">
        <v>855470</v>
      </c>
      <c r="C40" t="s">
        <v>618</v>
      </c>
      <c r="D40" s="1" t="s">
        <v>446</v>
      </c>
      <c r="E40" t="b">
        <v>0</v>
      </c>
      <c r="F40" s="5">
        <v>3300</v>
      </c>
      <c r="G40" t="s">
        <v>24</v>
      </c>
      <c r="H40" t="s">
        <v>619</v>
      </c>
      <c r="I40" s="1" t="s">
        <v>620</v>
      </c>
      <c r="J40" s="21" t="str">
        <f>VLOOKUP(Table5[[#This Row],[Company ID]],'[1]Coordinator Notes'!$B:$C,2,FALSE)</f>
        <v>First batch received: the W-9 logged and approved. Still awaiting the COI and the Spend authorization. Contact committed to finishing by next week.</v>
      </c>
      <c r="K40" t="str">
        <f>VLOOKUP(Table5[[#This Row],[Company ID]],'[1]Coordinator Notes'!$B:$D,3,FALSE)</f>
        <v>Received</v>
      </c>
      <c r="L40" s="12" t="str">
        <f t="shared" si="1"/>
        <v>RECEIVED</v>
      </c>
      <c r="M40" s="26" t="b">
        <v>0</v>
      </c>
      <c r="N40" s="26" t="b">
        <v>1</v>
      </c>
      <c r="O40" s="26" t="b">
        <v>0</v>
      </c>
    </row>
    <row r="41" spans="1:15" ht="30" customHeight="1" x14ac:dyDescent="0.25">
      <c r="A41" t="s">
        <v>449</v>
      </c>
      <c r="B41" s="2">
        <v>241415</v>
      </c>
      <c r="C41" t="s">
        <v>507</v>
      </c>
      <c r="D41" s="1" t="s">
        <v>211</v>
      </c>
      <c r="E41" t="b">
        <v>0</v>
      </c>
      <c r="F41" s="5">
        <v>90000</v>
      </c>
      <c r="G41" t="s">
        <v>508</v>
      </c>
      <c r="H41" t="s">
        <v>509</v>
      </c>
      <c r="I41" s="1" t="s">
        <v>510</v>
      </c>
      <c r="J41" s="21" t="str">
        <f>VLOOKUP(Table5[[#This Row],[Company ID]],'[1]Coordinator Notes'!$B:$C,2,FALSE)</f>
        <v>First batch received: the Spend authorization logged and approved. Still awaiting the W-9 and the COI. Contact committed to finishing by Wednesday.</v>
      </c>
      <c r="K41" t="str">
        <f>VLOOKUP(Table5[[#This Row],[Company ID]],'[1]Coordinator Notes'!$B:$D,3,FALSE)</f>
        <v>Received</v>
      </c>
      <c r="L41" s="12" t="str">
        <f t="shared" si="1"/>
        <v>RECEIVED</v>
      </c>
      <c r="M41" s="26" t="b">
        <v>0</v>
      </c>
      <c r="N41" s="26" t="b">
        <v>0</v>
      </c>
      <c r="O41" s="26" t="b">
        <v>1</v>
      </c>
    </row>
    <row r="42" spans="1:15" ht="30" customHeight="1" x14ac:dyDescent="0.25">
      <c r="A42" t="s">
        <v>449</v>
      </c>
      <c r="B42" s="2">
        <v>920417</v>
      </c>
      <c r="C42" t="s">
        <v>599</v>
      </c>
      <c r="D42" s="1" t="s">
        <v>587</v>
      </c>
      <c r="E42" t="b">
        <v>0</v>
      </c>
      <c r="F42" s="5">
        <v>21900</v>
      </c>
      <c r="G42" t="s">
        <v>600</v>
      </c>
      <c r="H42" t="s">
        <v>71</v>
      </c>
      <c r="I42" s="1" t="s">
        <v>601</v>
      </c>
      <c r="J42" s="21" t="str">
        <f>VLOOKUP(Table5[[#This Row],[Company ID]],'[1]Coordinator Notes'!$B:$C,2,FALSE)</f>
        <v>Progressing well: the COI and the Spend authorization accepted and logged. Outstanding item is the W-9, which the contact expects by next week. Steady communication.</v>
      </c>
      <c r="K42" t="str">
        <f>VLOOKUP(Table5[[#This Row],[Company ID]],'[1]Coordinator Notes'!$B:$D,3,FALSE)</f>
        <v>Received</v>
      </c>
      <c r="L42" s="12" t="str">
        <f t="shared" si="1"/>
        <v>RECEIVED</v>
      </c>
      <c r="M42" s="26" t="b">
        <v>1</v>
      </c>
      <c r="N42" s="26" t="b">
        <v>0</v>
      </c>
      <c r="O42" s="26" t="b">
        <v>1</v>
      </c>
    </row>
    <row r="43" spans="1:15" ht="30" customHeight="1" x14ac:dyDescent="0.25">
      <c r="A43" t="s">
        <v>449</v>
      </c>
      <c r="B43" s="2">
        <v>420868</v>
      </c>
      <c r="C43" t="s">
        <v>511</v>
      </c>
      <c r="D43" s="1" t="s">
        <v>211</v>
      </c>
      <c r="E43" t="b">
        <v>0</v>
      </c>
      <c r="F43" s="5">
        <v>49500</v>
      </c>
      <c r="G43" t="s">
        <v>512</v>
      </c>
      <c r="H43" t="s">
        <v>513</v>
      </c>
      <c r="I43" s="1" t="s">
        <v>514</v>
      </c>
      <c r="J43" s="21" t="str">
        <f>VLOOKUP(Table5[[#This Row],[Company ID]],'[1]Coordinator Notes'!$B:$C,2,FALSE)</f>
        <v>The w-9 received and verified; the Spend authorization and the COI still outstanding. Contact confirmed the remainder will be submitted by Monday. Following up then.</v>
      </c>
      <c r="K43" t="str">
        <f>VLOOKUP(Table5[[#This Row],[Company ID]],'[1]Coordinator Notes'!$B:$D,3,FALSE)</f>
        <v>Received</v>
      </c>
      <c r="L43" s="12" t="str">
        <f t="shared" si="1"/>
        <v>RECEIVED</v>
      </c>
      <c r="M43" s="26" t="b">
        <v>0</v>
      </c>
      <c r="N43" s="26" t="b">
        <v>1</v>
      </c>
      <c r="O43" s="26" t="b">
        <v>0</v>
      </c>
    </row>
    <row r="44" spans="1:15" ht="30" customHeight="1" x14ac:dyDescent="0.25">
      <c r="A44" t="s">
        <v>449</v>
      </c>
      <c r="B44" s="2">
        <v>509371</v>
      </c>
      <c r="C44" t="s">
        <v>548</v>
      </c>
      <c r="D44" s="1" t="s">
        <v>216</v>
      </c>
      <c r="E44" t="b">
        <v>0</v>
      </c>
      <c r="F44" s="5">
        <v>49100</v>
      </c>
      <c r="G44" t="s">
        <v>169</v>
      </c>
      <c r="H44" t="s">
        <v>549</v>
      </c>
      <c r="I44" s="1" t="s">
        <v>550</v>
      </c>
      <c r="J44" s="21" t="str">
        <f>VLOOKUP(Table5[[#This Row],[Company ID]],'[1]Coordinator Notes'!$B:$C,2,FALSE)</f>
        <v>Contact delivered the COI ahead of the deadline, completing the packet. Coverage and W-9 details confirmed current. Cleared for daily operations support.</v>
      </c>
      <c r="K44" t="str">
        <f>VLOOKUP(Table5[[#This Row],[Company ID]],'[1]Coordinator Notes'!$B:$D,3,FALSE)</f>
        <v>Completion</v>
      </c>
      <c r="L44" s="12" t="b">
        <f t="shared" si="1"/>
        <v>1</v>
      </c>
      <c r="M44" s="26" t="b">
        <v>1</v>
      </c>
      <c r="N44" s="26" t="b">
        <v>1</v>
      </c>
      <c r="O44" s="26" t="b">
        <v>1</v>
      </c>
    </row>
    <row r="45" spans="1:15" ht="30" customHeight="1" x14ac:dyDescent="0.25">
      <c r="A45" t="s">
        <v>449</v>
      </c>
      <c r="B45" s="2">
        <v>255751</v>
      </c>
      <c r="C45" t="s">
        <v>488</v>
      </c>
      <c r="D45" s="20" t="s">
        <v>206</v>
      </c>
      <c r="E45" t="b">
        <v>0</v>
      </c>
      <c r="F45" s="5">
        <v>132100</v>
      </c>
      <c r="G45" t="s">
        <v>489</v>
      </c>
      <c r="H45" t="s">
        <v>421</v>
      </c>
      <c r="I45" s="1" t="s">
        <v>490</v>
      </c>
      <c r="J45" s="21" t="str">
        <f>VLOOKUP(Table5[[#This Row],[Company ID]],'[1]Coordinator Notes'!$B:$C,2,FALSE)</f>
        <v>Packet complete after the COI was uploaded, closing the final open item. Documents were cross-checked against contract requirements and approved. Vendor moved to active status.</v>
      </c>
      <c r="K45" t="str">
        <f>VLOOKUP(Table5[[#This Row],[Company ID]],'[1]Coordinator Notes'!$B:$D,3,FALSE)</f>
        <v>Completion</v>
      </c>
      <c r="L45" s="12" t="b">
        <f t="shared" si="1"/>
        <v>1</v>
      </c>
      <c r="M45" s="26" t="b">
        <v>1</v>
      </c>
      <c r="N45" s="26" t="b">
        <v>1</v>
      </c>
      <c r="O45" s="26" t="b">
        <v>1</v>
      </c>
    </row>
    <row r="46" spans="1:15" ht="30" customHeight="1" x14ac:dyDescent="0.25">
      <c r="A46" t="s">
        <v>449</v>
      </c>
      <c r="B46" s="2">
        <v>906914</v>
      </c>
      <c r="C46" t="s">
        <v>578</v>
      </c>
      <c r="D46" s="1" t="s">
        <v>570</v>
      </c>
      <c r="E46" t="b">
        <v>0</v>
      </c>
      <c r="F46" s="5">
        <v>10500</v>
      </c>
      <c r="G46" t="s">
        <v>579</v>
      </c>
      <c r="H46" t="s">
        <v>580</v>
      </c>
      <c r="I46" s="1" t="s">
        <v>581</v>
      </c>
      <c r="J46" s="21" t="str">
        <f>VLOOKUP(Table5[[#This Row],[Company ID]],'[1]Coordinator Notes'!$B:$C,2,FALSE)</f>
        <v>Replies are sporadic and often incomplete, slowing everything down. Still awaiting all required documents. Setting a firm deadline in the next message.</v>
      </c>
      <c r="K46" t="str">
        <f>VLOOKUP(Table5[[#This Row],[Company ID]],'[1]Coordinator Notes'!$B:$D,3,FALSE)</f>
        <v>Poor Communication</v>
      </c>
      <c r="L46" s="12" t="b">
        <f t="shared" si="1"/>
        <v>0</v>
      </c>
      <c r="M46" s="26" t="b">
        <v>0</v>
      </c>
      <c r="N46" s="26" t="b">
        <v>0</v>
      </c>
      <c r="O46" s="26" t="b">
        <v>0</v>
      </c>
    </row>
    <row r="47" spans="1:15" ht="30" customHeight="1" x14ac:dyDescent="0.25">
      <c r="A47" t="s">
        <v>449</v>
      </c>
      <c r="B47" s="2">
        <v>127043</v>
      </c>
      <c r="C47" t="s">
        <v>450</v>
      </c>
      <c r="D47" s="1" t="s">
        <v>61</v>
      </c>
      <c r="E47" t="b">
        <v>1</v>
      </c>
      <c r="F47" s="5">
        <v>195600</v>
      </c>
      <c r="G47" t="s">
        <v>451</v>
      </c>
      <c r="H47" t="s">
        <v>452</v>
      </c>
      <c r="I47" s="1" t="s">
        <v>453</v>
      </c>
      <c r="J47" s="21" t="str">
        <f>VLOOKUP(Table5[[#This Row],[Company ID]],'[1]Coordinator Notes'!$B:$C,2,FALSE)</f>
        <v>First batch received: the W-9 logged and approved. Still awaiting the Spend authorization and the COI. Contact committed to finishing by Wednesday.</v>
      </c>
      <c r="K47" t="str">
        <f>VLOOKUP(Table5[[#This Row],[Company ID]],'[1]Coordinator Notes'!$B:$D,3,FALSE)</f>
        <v>Received</v>
      </c>
      <c r="L47" s="12" t="str">
        <f t="shared" si="1"/>
        <v>RECEIVED</v>
      </c>
      <c r="M47" s="26" t="b">
        <v>0</v>
      </c>
      <c r="N47" s="26" t="b">
        <v>1</v>
      </c>
      <c r="O47" s="26" t="b">
        <v>0</v>
      </c>
    </row>
    <row r="48" spans="1:15" ht="30" customHeight="1" x14ac:dyDescent="0.25">
      <c r="A48" t="s">
        <v>449</v>
      </c>
      <c r="B48" s="2">
        <v>599147</v>
      </c>
      <c r="C48" t="s">
        <v>565</v>
      </c>
      <c r="D48" s="1" t="s">
        <v>437</v>
      </c>
      <c r="E48" t="b">
        <v>0</v>
      </c>
      <c r="F48" s="5">
        <v>34900</v>
      </c>
      <c r="G48" t="s">
        <v>566</v>
      </c>
      <c r="H48" t="s">
        <v>567</v>
      </c>
      <c r="I48" s="1" t="s">
        <v>568</v>
      </c>
      <c r="J48" s="21" t="str">
        <f>VLOOKUP(Table5[[#This Row],[Company ID]],'[1]Coordinator Notes'!$B:$C,2,FALSE)</f>
        <v>Full document set received and reconciled against the master vendor record; the W-9 needed a quick correction, now resolved. No further discrepancies found. Onboarding officially complete.</v>
      </c>
      <c r="K48" t="str">
        <f>VLOOKUP(Table5[[#This Row],[Company ID]],'[1]Coordinator Notes'!$B:$D,3,FALSE)</f>
        <v>Completion</v>
      </c>
      <c r="L48" s="12" t="b">
        <f t="shared" si="1"/>
        <v>1</v>
      </c>
      <c r="M48" s="26" t="b">
        <v>1</v>
      </c>
      <c r="N48" s="26" t="b">
        <v>1</v>
      </c>
      <c r="O48" s="26" t="b">
        <v>1</v>
      </c>
    </row>
    <row r="49" spans="1:15" ht="30" customHeight="1" x14ac:dyDescent="0.25">
      <c r="A49" t="s">
        <v>449</v>
      </c>
      <c r="B49" s="2">
        <v>572006</v>
      </c>
      <c r="C49" t="s">
        <v>491</v>
      </c>
      <c r="D49" s="20" t="s">
        <v>206</v>
      </c>
      <c r="E49" t="b">
        <v>0</v>
      </c>
      <c r="F49" s="5">
        <v>105500</v>
      </c>
      <c r="G49" t="s">
        <v>492</v>
      </c>
      <c r="H49" t="s">
        <v>493</v>
      </c>
      <c r="I49" s="1" t="s">
        <v>494</v>
      </c>
      <c r="J49" s="21" t="str">
        <f>VLOOKUP(Table5[[#This Row],[Company ID]],'[1]Coordinator Notes'!$B:$C,2,FALSE)</f>
        <v>Everything is in — the W-9 arrived this Friday and matched our records. Contact was proactive throughout. Onboarding complete.</v>
      </c>
      <c r="K49" t="str">
        <f>VLOOKUP(Table5[[#This Row],[Company ID]],'[1]Coordinator Notes'!$B:$D,3,FALSE)</f>
        <v>Completion</v>
      </c>
      <c r="L49" s="12" t="b">
        <f t="shared" si="1"/>
        <v>1</v>
      </c>
      <c r="M49" s="26" t="b">
        <v>1</v>
      </c>
      <c r="N49" s="26" t="b">
        <v>1</v>
      </c>
      <c r="O49" s="26" t="b">
        <v>1</v>
      </c>
    </row>
    <row r="50" spans="1:15" ht="30" customHeight="1" x14ac:dyDescent="0.25">
      <c r="A50" t="s">
        <v>449</v>
      </c>
      <c r="B50" s="2">
        <v>589247</v>
      </c>
      <c r="C50" t="s">
        <v>634</v>
      </c>
      <c r="D50" s="1" t="s">
        <v>230</v>
      </c>
      <c r="E50" t="b">
        <v>0</v>
      </c>
      <c r="F50" s="5">
        <v>63200</v>
      </c>
      <c r="G50" t="s">
        <v>635</v>
      </c>
      <c r="H50" t="s">
        <v>636</v>
      </c>
      <c r="I50" s="1" t="s">
        <v>637</v>
      </c>
      <c r="J50" s="21" t="str">
        <f>VLOOKUP(Table5[[#This Row],[Company ID]],'[1]Coordinator Notes'!$B:$C,2,FALSE)</f>
        <v>Onboarding finalized after a short verification call this Wednesday. Every document is signed, dated, and on file. Ready for service assignment.</v>
      </c>
      <c r="K50" t="str">
        <f>VLOOKUP(Table5[[#This Row],[Company ID]],'[1]Coordinator Notes'!$B:$D,3,FALSE)</f>
        <v>Completion</v>
      </c>
      <c r="L50" s="12" t="b">
        <f t="shared" si="1"/>
        <v>1</v>
      </c>
      <c r="M50" s="26" t="b">
        <v>1</v>
      </c>
      <c r="N50" s="26" t="b">
        <v>1</v>
      </c>
      <c r="O50" s="26" t="b">
        <v>1</v>
      </c>
    </row>
    <row r="51" spans="1:15" ht="30" customHeight="1" x14ac:dyDescent="0.25">
      <c r="A51" t="s">
        <v>449</v>
      </c>
      <c r="B51" s="2">
        <v>518546</v>
      </c>
      <c r="C51" t="s">
        <v>638</v>
      </c>
      <c r="D51" s="1" t="s">
        <v>230</v>
      </c>
      <c r="E51" t="b">
        <v>0</v>
      </c>
      <c r="F51" s="5">
        <v>35500</v>
      </c>
      <c r="G51" t="s">
        <v>639</v>
      </c>
      <c r="H51" t="s">
        <v>640</v>
      </c>
      <c r="I51" s="1" t="s">
        <v>641</v>
      </c>
      <c r="J51" s="21" t="str">
        <f>VLOOKUP(Table5[[#This Row],[Company ID]],'[1]Coordinator Notes'!$B:$C,2,FALSE)</f>
        <v>Contact delivered the Spend authorization ahead of the deadline, completing the packet. Coverage and W-9 details confirmed current. Cleared for daily operations support.</v>
      </c>
      <c r="K51" t="str">
        <f>VLOOKUP(Table5[[#This Row],[Company ID]],'[1]Coordinator Notes'!$B:$D,3,FALSE)</f>
        <v>Completion</v>
      </c>
      <c r="L51" s="12" t="b">
        <f t="shared" si="1"/>
        <v>1</v>
      </c>
      <c r="M51" s="26" t="b">
        <v>1</v>
      </c>
      <c r="N51" s="26" t="b">
        <v>1</v>
      </c>
      <c r="O51" s="26" t="b">
        <v>1</v>
      </c>
    </row>
    <row r="52" spans="1:15" ht="30" customHeight="1" x14ac:dyDescent="0.25">
      <c r="A52" t="s">
        <v>449</v>
      </c>
      <c r="B52" s="2">
        <v>304990</v>
      </c>
      <c r="C52" t="s">
        <v>457</v>
      </c>
      <c r="D52" s="1" t="s">
        <v>89</v>
      </c>
      <c r="E52" t="b">
        <v>1</v>
      </c>
      <c r="F52" s="5">
        <v>17200</v>
      </c>
      <c r="G52" t="s">
        <v>458</v>
      </c>
      <c r="H52" t="s">
        <v>459</v>
      </c>
      <c r="I52" s="1" t="s">
        <v>460</v>
      </c>
      <c r="J52" s="21" t="str">
        <f>VLOOKUP(Table5[[#This Row],[Company ID]],'[1]Coordinator Notes'!$B:$C,2,FALSE)</f>
        <v>The spend authorization received and verified; the W-9 and the COI still outstanding. Contact confirmed the remainder will be submitted by Thursday. Following up then.</v>
      </c>
      <c r="K52" t="str">
        <f>VLOOKUP(Table5[[#This Row],[Company ID]],'[1]Coordinator Notes'!$B:$D,3,FALSE)</f>
        <v>Received</v>
      </c>
      <c r="L52" s="12" t="str">
        <f t="shared" si="1"/>
        <v>RECEIVED</v>
      </c>
      <c r="M52" s="26" t="b">
        <v>0</v>
      </c>
      <c r="N52" s="26" t="b">
        <v>0</v>
      </c>
      <c r="O52" s="26" t="b">
        <v>1</v>
      </c>
    </row>
    <row r="53" spans="1:15" ht="30" customHeight="1" x14ac:dyDescent="0.25">
      <c r="A53" t="s">
        <v>449</v>
      </c>
      <c r="B53" s="2">
        <v>778670</v>
      </c>
      <c r="C53" t="s">
        <v>582</v>
      </c>
      <c r="D53" s="1" t="s">
        <v>441</v>
      </c>
      <c r="E53" t="b">
        <v>0</v>
      </c>
      <c r="F53" s="5">
        <v>7400</v>
      </c>
      <c r="G53" t="s">
        <v>583</v>
      </c>
      <c r="H53" t="s">
        <v>584</v>
      </c>
      <c r="I53" s="1" t="s">
        <v>585</v>
      </c>
      <c r="J53" s="21" t="str">
        <f>VLOOKUP(Table5[[#This Row],[Company ID]],'[1]Coordinator Notes'!$B:$C,2,FALSE)</f>
        <v>The coi pushed back owing to a legal entity name change working through their system. The rest of the packet is fine. Expecting resolution by Tuesday.</v>
      </c>
      <c r="K53" t="str">
        <f>VLOOKUP(Table5[[#This Row],[Company ID]],'[1]Coordinator Notes'!$B:$D,3,FALSE)</f>
        <v>Delayed</v>
      </c>
      <c r="L53" s="12" t="b">
        <f t="shared" si="1"/>
        <v>0</v>
      </c>
      <c r="M53" s="26" t="b">
        <v>0</v>
      </c>
      <c r="N53" s="26" t="b">
        <v>0</v>
      </c>
      <c r="O53" s="26" t="b">
        <v>0</v>
      </c>
    </row>
    <row r="54" spans="1:15" ht="30" customHeight="1" x14ac:dyDescent="0.25">
      <c r="A54" t="s">
        <v>449</v>
      </c>
      <c r="B54" s="2">
        <v>811599</v>
      </c>
      <c r="C54" t="s">
        <v>642</v>
      </c>
      <c r="D54" s="1" t="s">
        <v>230</v>
      </c>
      <c r="E54" t="b">
        <v>0</v>
      </c>
      <c r="F54" s="5">
        <v>4800</v>
      </c>
      <c r="G54" t="s">
        <v>643</v>
      </c>
      <c r="H54" t="s">
        <v>644</v>
      </c>
      <c r="I54" s="1" t="s">
        <v>645</v>
      </c>
      <c r="J54" s="21" t="str">
        <f>VLOOKUP(Table5[[#This Row],[Company ID]],'[1]Coordinator Notes'!$B:$C,2,FALSE)</f>
        <v>Documents delayed — an internal signature backlog on the vendor's side. Contact confirmed the item is in progress. Monitoring and following up Tuesday.</v>
      </c>
      <c r="K54" t="str">
        <f>VLOOKUP(Table5[[#This Row],[Company ID]],'[1]Coordinator Notes'!$B:$D,3,FALSE)</f>
        <v>Delayed</v>
      </c>
      <c r="L54" s="12" t="b">
        <f t="shared" si="1"/>
        <v>0</v>
      </c>
      <c r="M54" s="26" t="b">
        <v>0</v>
      </c>
      <c r="N54" s="26" t="b">
        <v>0</v>
      </c>
      <c r="O54" s="26" t="b">
        <v>0</v>
      </c>
    </row>
    <row r="55" spans="1:15" ht="30" customHeight="1" x14ac:dyDescent="0.25">
      <c r="A55" t="s">
        <v>449</v>
      </c>
      <c r="B55" s="2">
        <v>508914</v>
      </c>
      <c r="C55" t="s">
        <v>554</v>
      </c>
      <c r="D55" s="1" t="s">
        <v>221</v>
      </c>
      <c r="E55" t="b">
        <v>0</v>
      </c>
      <c r="F55" s="5">
        <v>12700</v>
      </c>
      <c r="G55" t="s">
        <v>555</v>
      </c>
      <c r="H55" t="s">
        <v>556</v>
      </c>
      <c r="I55" s="1" t="s">
        <v>557</v>
      </c>
      <c r="J55" s="21" t="str">
        <f>VLOOKUP(Table5[[#This Row],[Company ID]],'[1]Coordinator Notes'!$B:$C,2,FALSE)</f>
        <v>Contact has gone quiet after an initial acknowledgment; recent emails are unanswered. No documents received yet. Attempting a call and considering escalation.</v>
      </c>
      <c r="K55" t="str">
        <f>VLOOKUP(Table5[[#This Row],[Company ID]],'[1]Coordinator Notes'!$B:$D,3,FALSE)</f>
        <v>Poor Communication</v>
      </c>
      <c r="L55" s="12" t="b">
        <f t="shared" si="1"/>
        <v>0</v>
      </c>
      <c r="M55" s="26" t="b">
        <v>0</v>
      </c>
      <c r="N55" s="26" t="b">
        <v>0</v>
      </c>
      <c r="O55" s="26" t="b">
        <v>0</v>
      </c>
    </row>
    <row r="56" spans="1:15" ht="30" customHeight="1" x14ac:dyDescent="0.25">
      <c r="A56" t="s">
        <v>449</v>
      </c>
      <c r="B56" s="2">
        <v>918149</v>
      </c>
      <c r="C56" t="s">
        <v>524</v>
      </c>
      <c r="D56" s="1" t="s">
        <v>520</v>
      </c>
      <c r="E56" t="b">
        <v>0</v>
      </c>
      <c r="F56" s="5">
        <v>7000</v>
      </c>
      <c r="G56" t="s">
        <v>525</v>
      </c>
      <c r="H56" t="s">
        <v>526</v>
      </c>
      <c r="I56" s="1" t="s">
        <v>527</v>
      </c>
      <c r="J56" s="21" t="str">
        <f>VLOOKUP(Table5[[#This Row],[Company ID]],'[1]Coordinator Notes'!$B:$C,2,FALSE)</f>
        <v>Contact acknowledged the request but has since stopped responding. No documents in. Trying a different channel and noting for supervisor follow-up.</v>
      </c>
      <c r="K56" t="str">
        <f>VLOOKUP(Table5[[#This Row],[Company ID]],'[1]Coordinator Notes'!$B:$D,3,FALSE)</f>
        <v>Poor Communication</v>
      </c>
      <c r="L56" s="12" t="b">
        <f t="shared" si="1"/>
        <v>0</v>
      </c>
      <c r="M56" s="26" t="b">
        <v>0</v>
      </c>
      <c r="N56" s="26" t="b">
        <v>0</v>
      </c>
      <c r="O56" s="26" t="b">
        <v>0</v>
      </c>
    </row>
    <row r="57" spans="1:15" ht="30" customHeight="1" x14ac:dyDescent="0.25">
      <c r="A57" t="s">
        <v>449</v>
      </c>
      <c r="B57" s="2">
        <v>285558</v>
      </c>
      <c r="C57" t="s">
        <v>477</v>
      </c>
      <c r="D57" s="1" t="s">
        <v>185</v>
      </c>
      <c r="E57" t="b">
        <v>1</v>
      </c>
      <c r="F57" s="5">
        <v>272500</v>
      </c>
      <c r="G57" t="s">
        <v>339</v>
      </c>
      <c r="H57" t="s">
        <v>478</v>
      </c>
      <c r="I57" s="1" t="s">
        <v>479</v>
      </c>
      <c r="J57" s="21" t="str">
        <f>VLOOKUP(Table5[[#This Row],[Company ID]],'[1]Coordinator Notes'!$B:$C,2,FALSE)</f>
        <v>Third outreach attempt with no response from the contact. Voicemail left and a follow-up email sent requesting the outstanding documents. Escalating to a backup contact if no reply by Friday.</v>
      </c>
      <c r="K57" t="str">
        <f>VLOOKUP(Table5[[#This Row],[Company ID]],'[1]Coordinator Notes'!$B:$D,3,FALSE)</f>
        <v>Poor Communication</v>
      </c>
      <c r="L57" s="12" t="b">
        <f t="shared" si="1"/>
        <v>0</v>
      </c>
      <c r="M57" s="26" t="b">
        <v>0</v>
      </c>
      <c r="N57" s="26" t="b">
        <v>0</v>
      </c>
      <c r="O57" s="26" t="b">
        <v>0</v>
      </c>
    </row>
    <row r="58" spans="1:15" ht="30" customHeight="1" x14ac:dyDescent="0.25">
      <c r="A58" t="s">
        <v>449</v>
      </c>
      <c r="B58" s="2">
        <v>652863</v>
      </c>
      <c r="C58" t="s">
        <v>515</v>
      </c>
      <c r="D58" s="1" t="s">
        <v>211</v>
      </c>
      <c r="E58" t="b">
        <v>0</v>
      </c>
      <c r="F58" s="5">
        <v>6300</v>
      </c>
      <c r="G58" t="s">
        <v>516</v>
      </c>
      <c r="H58" t="s">
        <v>517</v>
      </c>
      <c r="I58" s="1" t="s">
        <v>518</v>
      </c>
      <c r="J58" s="21" t="str">
        <f>VLOOKUP(Table5[[#This Row],[Company ID]],'[1]Coordinator Notes'!$B:$C,2,FALSE)</f>
        <v>Documents delayed — a corporate reorganization reassigning document ownership. Contact confirmed the item is in progress. Monitoring and following up Friday.</v>
      </c>
      <c r="K58" t="str">
        <f>VLOOKUP(Table5[[#This Row],[Company ID]],'[1]Coordinator Notes'!$B:$D,3,FALSE)</f>
        <v>Delayed</v>
      </c>
      <c r="L58" s="12" t="b">
        <f t="shared" si="1"/>
        <v>0</v>
      </c>
      <c r="M58" s="26" t="b">
        <v>0</v>
      </c>
      <c r="N58" s="26" t="b">
        <v>0</v>
      </c>
      <c r="O58" s="26" t="b">
        <v>0</v>
      </c>
    </row>
  </sheetData>
  <conditionalFormatting sqref="L6:L58">
    <cfRule type="containsText" dxfId="9" priority="1" operator="containsText" text="RECEIVED">
      <formula>NOT(ISERROR(SEARCH("RECEIVED",L6)))</formula>
    </cfRule>
    <cfRule type="containsText" dxfId="8" priority="2" operator="containsText" text="TRUE">
      <formula>NOT(ISERROR(SEARCH("TRUE",L6)))</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CFE01-3E87-487B-B311-63F199A58799}">
  <sheetPr>
    <tabColor theme="3" tint="0.39997558519241921"/>
  </sheetPr>
  <dimension ref="A1:O58"/>
  <sheetViews>
    <sheetView zoomScale="80" zoomScaleNormal="80" workbookViewId="0">
      <pane ySplit="5" topLeftCell="A6" activePane="bottomLeft" state="frozen"/>
      <selection pane="bottomLeft" activeCell="D2" sqref="D2"/>
    </sheetView>
  </sheetViews>
  <sheetFormatPr defaultRowHeight="15" x14ac:dyDescent="0.25"/>
  <cols>
    <col min="1" max="2" width="13.7109375" customWidth="1"/>
    <col min="3" max="3" width="41.28515625" bestFit="1" customWidth="1"/>
    <col min="4" max="4" width="25" bestFit="1" customWidth="1"/>
    <col min="5" max="5" width="10.7109375" customWidth="1"/>
    <col min="6" max="6" width="15.42578125" customWidth="1"/>
    <col min="7" max="7" width="17" bestFit="1" customWidth="1"/>
    <col min="8" max="8" width="16" customWidth="1"/>
    <col min="9" max="9" width="36.140625" bestFit="1" customWidth="1"/>
    <col min="10" max="10" width="35.7109375" customWidth="1"/>
    <col min="11" max="11" width="18.7109375" customWidth="1"/>
    <col min="12" max="12" width="18" customWidth="1"/>
    <col min="13" max="15" width="10.7109375" customWidth="1"/>
  </cols>
  <sheetData>
    <row r="1" spans="1:15" ht="15.75" x14ac:dyDescent="0.25">
      <c r="A1" s="61" t="s">
        <v>1481</v>
      </c>
      <c r="B1" s="62"/>
      <c r="C1" s="62"/>
    </row>
    <row r="2" spans="1:15" ht="15.75" x14ac:dyDescent="0.25">
      <c r="A2" s="61" t="s">
        <v>1671</v>
      </c>
      <c r="B2" s="62"/>
      <c r="C2" s="62"/>
    </row>
    <row r="5" spans="1:15" ht="30" customHeight="1" x14ac:dyDescent="0.25">
      <c r="A5" s="11" t="s">
        <v>0</v>
      </c>
      <c r="B5" s="11" t="s">
        <v>1</v>
      </c>
      <c r="C5" s="11" t="s">
        <v>2</v>
      </c>
      <c r="D5" s="11" t="s">
        <v>3</v>
      </c>
      <c r="E5" s="11" t="s">
        <v>4</v>
      </c>
      <c r="F5" s="11" t="s">
        <v>5</v>
      </c>
      <c r="G5" s="11" t="s">
        <v>6</v>
      </c>
      <c r="H5" s="11" t="s">
        <v>7</v>
      </c>
      <c r="I5" s="11" t="s">
        <v>8</v>
      </c>
      <c r="J5" s="11" t="s">
        <v>1468</v>
      </c>
      <c r="K5" s="11" t="s">
        <v>1469</v>
      </c>
      <c r="L5" s="11" t="s">
        <v>1470</v>
      </c>
      <c r="M5" s="11" t="s">
        <v>1471</v>
      </c>
      <c r="N5" s="11" t="s">
        <v>1472</v>
      </c>
      <c r="O5" s="11" t="s">
        <v>1473</v>
      </c>
    </row>
    <row r="6" spans="1:15" ht="30" customHeight="1" x14ac:dyDescent="0.25">
      <c r="A6" t="s">
        <v>659</v>
      </c>
      <c r="B6" s="2">
        <v>636685</v>
      </c>
      <c r="C6" t="s">
        <v>680</v>
      </c>
      <c r="D6" s="1" t="s">
        <v>185</v>
      </c>
      <c r="E6" t="b">
        <v>1</v>
      </c>
      <c r="F6" s="5">
        <v>313400</v>
      </c>
      <c r="G6" t="s">
        <v>681</v>
      </c>
      <c r="H6" t="s">
        <v>682</v>
      </c>
      <c r="I6" s="1" t="s">
        <v>683</v>
      </c>
      <c r="J6" s="21" t="s">
        <v>1599</v>
      </c>
      <c r="K6" t="str">
        <f>VLOOKUP(Table6[[#This Row],[Company ID]],'[1]Coordinator Notes'!$B:$D,3,FALSE)</f>
        <v>Delayed – EOD</v>
      </c>
      <c r="L6" s="12" t="b">
        <f t="shared" ref="L6:L37" si="0">IF(COUNTIF(M6:O6, TRUE) =3,TRUE, IF(COUNTIF(M6:O6,TRUE)&gt;=1,"RECEIVED", FALSE))</f>
        <v>0</v>
      </c>
      <c r="M6" s="26" t="b">
        <v>0</v>
      </c>
      <c r="N6" s="26" t="b">
        <v>0</v>
      </c>
      <c r="O6" s="26" t="b">
        <v>0</v>
      </c>
    </row>
    <row r="7" spans="1:15" ht="30" customHeight="1" x14ac:dyDescent="0.25">
      <c r="A7" t="s">
        <v>659</v>
      </c>
      <c r="B7" s="2">
        <v>921426</v>
      </c>
      <c r="C7" t="s">
        <v>802</v>
      </c>
      <c r="D7" s="1" t="s">
        <v>446</v>
      </c>
      <c r="E7" t="b">
        <v>0</v>
      </c>
      <c r="F7" s="5">
        <v>2800</v>
      </c>
      <c r="G7" t="s">
        <v>803</v>
      </c>
      <c r="H7" t="s">
        <v>804</v>
      </c>
      <c r="I7" s="1" t="s">
        <v>805</v>
      </c>
      <c r="J7" s="21" t="s">
        <v>1600</v>
      </c>
      <c r="K7" t="str">
        <f>VLOOKUP(Table6[[#This Row],[Company ID]],'[1]Coordinator Notes'!$B:$D,3,FALSE)</f>
        <v>Delayed – EOD</v>
      </c>
      <c r="L7" s="12" t="b">
        <f t="shared" si="0"/>
        <v>0</v>
      </c>
      <c r="M7" s="26" t="b">
        <v>0</v>
      </c>
      <c r="N7" s="26" t="b">
        <v>0</v>
      </c>
      <c r="O7" s="26" t="b">
        <v>0</v>
      </c>
    </row>
    <row r="8" spans="1:15" ht="30" customHeight="1" x14ac:dyDescent="0.25">
      <c r="A8" t="s">
        <v>659</v>
      </c>
      <c r="B8" s="2">
        <v>887507</v>
      </c>
      <c r="C8" t="s">
        <v>786</v>
      </c>
      <c r="D8" s="1" t="s">
        <v>587</v>
      </c>
      <c r="E8" t="b">
        <v>0</v>
      </c>
      <c r="F8" s="5">
        <v>11400</v>
      </c>
      <c r="G8" t="s">
        <v>787</v>
      </c>
      <c r="H8" t="s">
        <v>788</v>
      </c>
      <c r="I8" s="1" t="s">
        <v>789</v>
      </c>
      <c r="J8" s="21" t="s">
        <v>1601</v>
      </c>
      <c r="K8" t="str">
        <f>VLOOKUP(Table6[[#This Row],[Company ID]],'[1]Coordinator Notes'!$B:$D,3,FALSE)</f>
        <v>Delayed</v>
      </c>
      <c r="L8" s="12" t="b">
        <f t="shared" si="0"/>
        <v>0</v>
      </c>
      <c r="M8" s="26" t="b">
        <v>0</v>
      </c>
      <c r="N8" s="26" t="b">
        <v>0</v>
      </c>
      <c r="O8" s="26" t="b">
        <v>0</v>
      </c>
    </row>
    <row r="9" spans="1:15" ht="30" customHeight="1" x14ac:dyDescent="0.25">
      <c r="A9" t="s">
        <v>659</v>
      </c>
      <c r="B9" s="2">
        <v>715011</v>
      </c>
      <c r="C9" t="s">
        <v>692</v>
      </c>
      <c r="D9" s="1" t="s">
        <v>211</v>
      </c>
      <c r="E9" t="b">
        <v>0</v>
      </c>
      <c r="F9" s="5">
        <v>68700</v>
      </c>
      <c r="G9" t="s">
        <v>693</v>
      </c>
      <c r="H9" t="s">
        <v>694</v>
      </c>
      <c r="I9" s="1" t="s">
        <v>695</v>
      </c>
      <c r="J9" s="21" t="s">
        <v>1533</v>
      </c>
      <c r="K9" t="str">
        <f>VLOOKUP(Table6[[#This Row],[Company ID]],'[1]Coordinator Notes'!$B:$D,3,FALSE)</f>
        <v>Received</v>
      </c>
      <c r="L9" s="12" t="str">
        <f t="shared" si="0"/>
        <v>RECEIVED</v>
      </c>
      <c r="M9" s="26" t="b">
        <v>1</v>
      </c>
      <c r="N9" s="26" t="b">
        <v>0</v>
      </c>
      <c r="O9" s="26" t="b">
        <v>0</v>
      </c>
    </row>
    <row r="10" spans="1:15" ht="30" customHeight="1" x14ac:dyDescent="0.25">
      <c r="A10" t="s">
        <v>659</v>
      </c>
      <c r="B10" s="2">
        <v>614102</v>
      </c>
      <c r="C10" t="s">
        <v>778</v>
      </c>
      <c r="D10" s="1" t="s">
        <v>570</v>
      </c>
      <c r="E10" t="b">
        <v>0</v>
      </c>
      <c r="F10" s="5">
        <v>55500</v>
      </c>
      <c r="G10" t="s">
        <v>779</v>
      </c>
      <c r="H10" t="s">
        <v>780</v>
      </c>
      <c r="I10" s="1" t="s">
        <v>781</v>
      </c>
      <c r="J10" s="21" t="s">
        <v>1489</v>
      </c>
      <c r="K10" t="str">
        <f>VLOOKUP(Table6[[#This Row],[Company ID]],'[1]Coordinator Notes'!$B:$D,3,FALSE)</f>
        <v>Received</v>
      </c>
      <c r="L10" s="12" t="str">
        <f t="shared" si="0"/>
        <v>RECEIVED</v>
      </c>
      <c r="M10" s="26" t="b">
        <v>1</v>
      </c>
      <c r="N10" s="26" t="b">
        <v>0</v>
      </c>
      <c r="O10" s="26" t="b">
        <v>1</v>
      </c>
    </row>
    <row r="11" spans="1:15" ht="30" customHeight="1" x14ac:dyDescent="0.25">
      <c r="A11" t="s">
        <v>659</v>
      </c>
      <c r="B11" s="2">
        <v>320436</v>
      </c>
      <c r="C11" t="s">
        <v>842</v>
      </c>
      <c r="D11" s="1" t="s">
        <v>230</v>
      </c>
      <c r="E11" t="b">
        <v>0</v>
      </c>
      <c r="F11" s="5">
        <v>26300</v>
      </c>
      <c r="G11" t="s">
        <v>387</v>
      </c>
      <c r="H11" t="s">
        <v>124</v>
      </c>
      <c r="I11" s="1" t="s">
        <v>843</v>
      </c>
      <c r="J11" s="21" t="s">
        <v>1602</v>
      </c>
      <c r="K11" t="str">
        <f>VLOOKUP(Table6[[#This Row],[Company ID]],'[1]Coordinator Notes'!$B:$D,3,FALSE)</f>
        <v>Delayed</v>
      </c>
      <c r="L11" s="12" t="b">
        <f t="shared" si="0"/>
        <v>0</v>
      </c>
      <c r="M11" s="26" t="b">
        <v>0</v>
      </c>
      <c r="N11" s="26" t="b">
        <v>0</v>
      </c>
      <c r="O11" s="26" t="b">
        <v>0</v>
      </c>
    </row>
    <row r="12" spans="1:15" ht="30" customHeight="1" x14ac:dyDescent="0.25">
      <c r="A12" t="s">
        <v>659</v>
      </c>
      <c r="B12" s="2">
        <v>516512</v>
      </c>
      <c r="C12" t="s">
        <v>844</v>
      </c>
      <c r="D12" s="1" t="s">
        <v>230</v>
      </c>
      <c r="E12" t="b">
        <v>0</v>
      </c>
      <c r="F12" s="5">
        <v>51700</v>
      </c>
      <c r="G12" t="s">
        <v>845</v>
      </c>
      <c r="H12" t="s">
        <v>846</v>
      </c>
      <c r="I12" s="1" t="s">
        <v>847</v>
      </c>
      <c r="J12" s="21" t="s">
        <v>1573</v>
      </c>
      <c r="K12" t="str">
        <f>VLOOKUP(Table6[[#This Row],[Company ID]],'[1]Coordinator Notes'!$B:$D,3,FALSE)</f>
        <v>Completion</v>
      </c>
      <c r="L12" s="12" t="b">
        <f t="shared" si="0"/>
        <v>1</v>
      </c>
      <c r="M12" s="26" t="b">
        <v>1</v>
      </c>
      <c r="N12" s="26" t="b">
        <v>1</v>
      </c>
      <c r="O12" s="26" t="b">
        <v>1</v>
      </c>
    </row>
    <row r="13" spans="1:15" ht="30" customHeight="1" x14ac:dyDescent="0.25">
      <c r="A13" t="s">
        <v>659</v>
      </c>
      <c r="B13" s="2">
        <v>363730</v>
      </c>
      <c r="C13" t="s">
        <v>852</v>
      </c>
      <c r="D13" s="1" t="s">
        <v>647</v>
      </c>
      <c r="E13" t="b">
        <v>0</v>
      </c>
      <c r="F13" s="5">
        <v>12000</v>
      </c>
      <c r="G13" t="s">
        <v>853</v>
      </c>
      <c r="H13" t="s">
        <v>854</v>
      </c>
      <c r="I13" s="1" t="s">
        <v>855</v>
      </c>
      <c r="J13" s="21" t="s">
        <v>1603</v>
      </c>
      <c r="K13" t="str">
        <f>VLOOKUP(Table6[[#This Row],[Company ID]],'[1]Coordinator Notes'!$B:$D,3,FALSE)</f>
        <v>Delayed – EOD</v>
      </c>
      <c r="L13" s="12" t="b">
        <f t="shared" si="0"/>
        <v>0</v>
      </c>
      <c r="M13" s="26" t="b">
        <v>0</v>
      </c>
      <c r="N13" s="26" t="b">
        <v>0</v>
      </c>
      <c r="O13" s="26" t="b">
        <v>0</v>
      </c>
    </row>
    <row r="14" spans="1:15" ht="30" customHeight="1" x14ac:dyDescent="0.25">
      <c r="A14" t="s">
        <v>659</v>
      </c>
      <c r="B14" s="2">
        <v>473960</v>
      </c>
      <c r="C14" t="s">
        <v>696</v>
      </c>
      <c r="D14" s="1" t="s">
        <v>211</v>
      </c>
      <c r="E14" t="b">
        <v>0</v>
      </c>
      <c r="F14" s="5">
        <v>104400</v>
      </c>
      <c r="G14" t="s">
        <v>327</v>
      </c>
      <c r="H14" t="s">
        <v>697</v>
      </c>
      <c r="I14" s="1" t="s">
        <v>698</v>
      </c>
      <c r="J14" s="21" t="s">
        <v>1604</v>
      </c>
      <c r="K14" t="str">
        <f>VLOOKUP(Table6[[#This Row],[Company ID]],'[1]Coordinator Notes'!$B:$D,3,FALSE)</f>
        <v>Delayed – EOD</v>
      </c>
      <c r="L14" s="12" t="b">
        <f t="shared" si="0"/>
        <v>0</v>
      </c>
      <c r="M14" s="26" t="b">
        <v>0</v>
      </c>
      <c r="N14" s="26" t="b">
        <v>0</v>
      </c>
      <c r="O14" s="26" t="b">
        <v>0</v>
      </c>
    </row>
    <row r="15" spans="1:15" ht="30" customHeight="1" x14ac:dyDescent="0.25">
      <c r="A15" t="s">
        <v>659</v>
      </c>
      <c r="B15" s="2">
        <v>494625</v>
      </c>
      <c r="C15" t="s">
        <v>818</v>
      </c>
      <c r="D15" s="1" t="s">
        <v>622</v>
      </c>
      <c r="E15" t="b">
        <v>0</v>
      </c>
      <c r="F15" s="5">
        <v>79000</v>
      </c>
      <c r="G15" t="s">
        <v>819</v>
      </c>
      <c r="H15" t="s">
        <v>820</v>
      </c>
      <c r="I15" s="1" t="s">
        <v>821</v>
      </c>
      <c r="J15" s="21" t="s">
        <v>1605</v>
      </c>
      <c r="K15" t="str">
        <f>VLOOKUP(Table6[[#This Row],[Company ID]],'[1]Coordinator Notes'!$B:$D,3,FALSE)</f>
        <v>Delayed</v>
      </c>
      <c r="L15" s="12" t="b">
        <f t="shared" si="0"/>
        <v>0</v>
      </c>
      <c r="M15" s="26" t="b">
        <v>0</v>
      </c>
      <c r="N15" s="26" t="b">
        <v>0</v>
      </c>
      <c r="O15" s="26" t="b">
        <v>0</v>
      </c>
    </row>
    <row r="16" spans="1:15" ht="30" customHeight="1" x14ac:dyDescent="0.25">
      <c r="A16" t="s">
        <v>659</v>
      </c>
      <c r="B16" s="2">
        <v>882206</v>
      </c>
      <c r="C16" t="s">
        <v>688</v>
      </c>
      <c r="D16" s="1" t="s">
        <v>206</v>
      </c>
      <c r="E16" t="b">
        <v>0</v>
      </c>
      <c r="F16" s="5">
        <v>138200</v>
      </c>
      <c r="G16" t="s">
        <v>689</v>
      </c>
      <c r="H16" t="s">
        <v>690</v>
      </c>
      <c r="I16" s="1" t="s">
        <v>691</v>
      </c>
      <c r="J16" s="21" t="s">
        <v>1606</v>
      </c>
      <c r="K16" t="str">
        <f>VLOOKUP(Table6[[#This Row],[Company ID]],'[1]Coordinator Notes'!$B:$D,3,FALSE)</f>
        <v>Received</v>
      </c>
      <c r="L16" s="12" t="str">
        <f t="shared" si="0"/>
        <v>RECEIVED</v>
      </c>
      <c r="M16" s="26" t="b">
        <v>0</v>
      </c>
      <c r="N16" s="26" t="b">
        <v>0</v>
      </c>
      <c r="O16" s="26" t="b">
        <v>1</v>
      </c>
    </row>
    <row r="17" spans="1:15" ht="30" customHeight="1" x14ac:dyDescent="0.25">
      <c r="A17" t="s">
        <v>659</v>
      </c>
      <c r="B17" s="2">
        <v>858237</v>
      </c>
      <c r="C17" t="s">
        <v>699</v>
      </c>
      <c r="D17" s="1" t="s">
        <v>211</v>
      </c>
      <c r="E17" t="b">
        <v>0</v>
      </c>
      <c r="F17" s="5">
        <v>124700</v>
      </c>
      <c r="G17" t="s">
        <v>700</v>
      </c>
      <c r="H17" t="s">
        <v>701</v>
      </c>
      <c r="I17" s="1" t="s">
        <v>702</v>
      </c>
      <c r="J17" s="21" t="s">
        <v>1607</v>
      </c>
      <c r="K17" t="str">
        <f>VLOOKUP(Table6[[#This Row],[Company ID]],'[1]Coordinator Notes'!$B:$D,3,FALSE)</f>
        <v>Delayed – EOD</v>
      </c>
      <c r="L17" s="12" t="b">
        <f t="shared" si="0"/>
        <v>0</v>
      </c>
      <c r="M17" s="26" t="b">
        <v>0</v>
      </c>
      <c r="N17" s="26" t="b">
        <v>0</v>
      </c>
      <c r="O17" s="26" t="b">
        <v>0</v>
      </c>
    </row>
    <row r="18" spans="1:15" ht="30" customHeight="1" x14ac:dyDescent="0.25">
      <c r="A18" t="s">
        <v>659</v>
      </c>
      <c r="B18" s="2">
        <v>684529</v>
      </c>
      <c r="C18" t="s">
        <v>770</v>
      </c>
      <c r="D18" s="1" t="s">
        <v>437</v>
      </c>
      <c r="E18" t="b">
        <v>0</v>
      </c>
      <c r="F18" s="5">
        <v>52400</v>
      </c>
      <c r="G18" t="s">
        <v>771</v>
      </c>
      <c r="H18" t="s">
        <v>772</v>
      </c>
      <c r="I18" s="1" t="s">
        <v>773</v>
      </c>
      <c r="J18" s="21" t="s">
        <v>1608</v>
      </c>
      <c r="K18" t="str">
        <f>VLOOKUP(Table6[[#This Row],[Company ID]],'[1]Coordinator Notes'!$B:$D,3,FALSE)</f>
        <v>Delayed – EOD</v>
      </c>
      <c r="L18" s="12" t="b">
        <f t="shared" si="0"/>
        <v>0</v>
      </c>
      <c r="M18" s="26" t="b">
        <v>0</v>
      </c>
      <c r="N18" s="26" t="b">
        <v>0</v>
      </c>
      <c r="O18" s="26" t="b">
        <v>0</v>
      </c>
    </row>
    <row r="19" spans="1:15" ht="30" customHeight="1" x14ac:dyDescent="0.25">
      <c r="A19" t="s">
        <v>659</v>
      </c>
      <c r="B19" s="2">
        <v>406311</v>
      </c>
      <c r="C19" t="s">
        <v>703</v>
      </c>
      <c r="D19" s="1" t="s">
        <v>211</v>
      </c>
      <c r="E19" t="b">
        <v>0</v>
      </c>
      <c r="F19" s="5">
        <v>137500</v>
      </c>
      <c r="G19" t="s">
        <v>291</v>
      </c>
      <c r="H19" t="s">
        <v>704</v>
      </c>
      <c r="I19" s="1" t="s">
        <v>705</v>
      </c>
      <c r="J19" s="21" t="s">
        <v>1508</v>
      </c>
      <c r="K19" t="str">
        <f>VLOOKUP(Table6[[#This Row],[Company ID]],'[1]Coordinator Notes'!$B:$D,3,FALSE)</f>
        <v>Completion</v>
      </c>
      <c r="L19" s="12" t="b">
        <f t="shared" si="0"/>
        <v>1</v>
      </c>
      <c r="M19" s="26" t="b">
        <v>1</v>
      </c>
      <c r="N19" s="26" t="b">
        <v>1</v>
      </c>
      <c r="O19" s="26" t="b">
        <v>1</v>
      </c>
    </row>
    <row r="20" spans="1:15" ht="30" customHeight="1" x14ac:dyDescent="0.25">
      <c r="A20" t="s">
        <v>659</v>
      </c>
      <c r="B20" s="2">
        <v>614883</v>
      </c>
      <c r="C20" t="s">
        <v>684</v>
      </c>
      <c r="D20" s="1" t="s">
        <v>185</v>
      </c>
      <c r="E20" t="b">
        <v>1</v>
      </c>
      <c r="F20" s="5">
        <v>498000</v>
      </c>
      <c r="G20" t="s">
        <v>685</v>
      </c>
      <c r="H20" t="s">
        <v>686</v>
      </c>
      <c r="I20" s="1" t="s">
        <v>687</v>
      </c>
      <c r="J20" s="21" t="s">
        <v>1598</v>
      </c>
      <c r="K20" t="str">
        <f>VLOOKUP(Table6[[#This Row],[Company ID]],'[1]Coordinator Notes'!$B:$D,3,FALSE)</f>
        <v>Completion</v>
      </c>
      <c r="L20" s="12" t="b">
        <f t="shared" si="0"/>
        <v>1</v>
      </c>
      <c r="M20" s="26" t="b">
        <v>1</v>
      </c>
      <c r="N20" s="26" t="b">
        <v>1</v>
      </c>
      <c r="O20" s="26" t="b">
        <v>1</v>
      </c>
    </row>
    <row r="21" spans="1:15" ht="30" customHeight="1" x14ac:dyDescent="0.25">
      <c r="A21" t="s">
        <v>659</v>
      </c>
      <c r="B21" s="2">
        <v>517488</v>
      </c>
      <c r="C21" t="s">
        <v>706</v>
      </c>
      <c r="D21" s="1" t="s">
        <v>211</v>
      </c>
      <c r="E21" t="b">
        <v>0</v>
      </c>
      <c r="F21" s="5">
        <v>84700</v>
      </c>
      <c r="G21" t="s">
        <v>707</v>
      </c>
      <c r="H21" t="s">
        <v>708</v>
      </c>
      <c r="I21" s="1" t="s">
        <v>709</v>
      </c>
      <c r="J21" s="21" t="s">
        <v>1604</v>
      </c>
      <c r="K21" t="str">
        <f>VLOOKUP(Table6[[#This Row],[Company ID]],'[1]Coordinator Notes'!$B:$D,3,FALSE)</f>
        <v>Delayed – EOD</v>
      </c>
      <c r="L21" s="12" t="b">
        <f t="shared" si="0"/>
        <v>0</v>
      </c>
      <c r="M21" s="26" t="b">
        <v>0</v>
      </c>
      <c r="N21" s="26" t="b">
        <v>0</v>
      </c>
      <c r="O21" s="26" t="b">
        <v>0</v>
      </c>
    </row>
    <row r="22" spans="1:15" ht="30" customHeight="1" x14ac:dyDescent="0.25">
      <c r="A22" t="s">
        <v>659</v>
      </c>
      <c r="B22" s="2">
        <v>650138</v>
      </c>
      <c r="C22" t="s">
        <v>710</v>
      </c>
      <c r="D22" s="1" t="s">
        <v>211</v>
      </c>
      <c r="E22" t="b">
        <v>0</v>
      </c>
      <c r="F22" s="5">
        <v>37800</v>
      </c>
      <c r="G22" t="s">
        <v>711</v>
      </c>
      <c r="H22" t="s">
        <v>712</v>
      </c>
      <c r="I22" s="1" t="s">
        <v>713</v>
      </c>
      <c r="J22" s="21" t="s">
        <v>1609</v>
      </c>
      <c r="K22" t="str">
        <f>VLOOKUP(Table6[[#This Row],[Company ID]],'[1]Coordinator Notes'!$B:$D,3,FALSE)</f>
        <v>Completion</v>
      </c>
      <c r="L22" s="12" t="b">
        <f t="shared" si="0"/>
        <v>1</v>
      </c>
      <c r="M22" s="26" t="b">
        <v>1</v>
      </c>
      <c r="N22" s="26" t="b">
        <v>1</v>
      </c>
      <c r="O22" s="26" t="b">
        <v>1</v>
      </c>
    </row>
    <row r="23" spans="1:15" ht="30" customHeight="1" x14ac:dyDescent="0.25">
      <c r="A23" t="s">
        <v>659</v>
      </c>
      <c r="B23" s="2">
        <v>151262</v>
      </c>
      <c r="C23" t="s">
        <v>822</v>
      </c>
      <c r="D23" s="1" t="s">
        <v>622</v>
      </c>
      <c r="E23" t="b">
        <v>0</v>
      </c>
      <c r="F23" s="5">
        <v>53000</v>
      </c>
      <c r="G23" t="s">
        <v>823</v>
      </c>
      <c r="H23" t="s">
        <v>824</v>
      </c>
      <c r="I23" s="1" t="s">
        <v>825</v>
      </c>
      <c r="J23" s="21" t="s">
        <v>1610</v>
      </c>
      <c r="K23" t="str">
        <f>VLOOKUP(Table6[[#This Row],[Company ID]],'[1]Coordinator Notes'!$B:$D,3,FALSE)</f>
        <v>Completion</v>
      </c>
      <c r="L23" s="12" t="b">
        <f t="shared" si="0"/>
        <v>1</v>
      </c>
      <c r="M23" s="26" t="b">
        <v>1</v>
      </c>
      <c r="N23" s="26" t="b">
        <v>1</v>
      </c>
      <c r="O23" s="26" t="b">
        <v>1</v>
      </c>
    </row>
    <row r="24" spans="1:15" ht="30" customHeight="1" x14ac:dyDescent="0.25">
      <c r="A24" t="s">
        <v>659</v>
      </c>
      <c r="B24" s="2">
        <v>605532</v>
      </c>
      <c r="C24" t="s">
        <v>714</v>
      </c>
      <c r="D24" s="1" t="s">
        <v>211</v>
      </c>
      <c r="E24" t="b">
        <v>0</v>
      </c>
      <c r="F24" s="5">
        <v>63200</v>
      </c>
      <c r="G24" t="s">
        <v>715</v>
      </c>
      <c r="H24" t="s">
        <v>716</v>
      </c>
      <c r="I24" s="1" t="s">
        <v>717</v>
      </c>
      <c r="J24" s="21" t="s">
        <v>1611</v>
      </c>
      <c r="K24" t="str">
        <f>VLOOKUP(Table6[[#This Row],[Company ID]],'[1]Coordinator Notes'!$B:$D,3,FALSE)</f>
        <v>Completion</v>
      </c>
      <c r="L24" s="12" t="b">
        <f t="shared" si="0"/>
        <v>1</v>
      </c>
      <c r="M24" s="26" t="b">
        <v>1</v>
      </c>
      <c r="N24" s="26" t="b">
        <v>1</v>
      </c>
      <c r="O24" s="26" t="b">
        <v>1</v>
      </c>
    </row>
    <row r="25" spans="1:15" ht="30" customHeight="1" x14ac:dyDescent="0.25">
      <c r="A25" t="s">
        <v>659</v>
      </c>
      <c r="B25" s="2">
        <v>990900</v>
      </c>
      <c r="C25" t="s">
        <v>856</v>
      </c>
      <c r="D25" s="1" t="s">
        <v>647</v>
      </c>
      <c r="E25" t="b">
        <v>0</v>
      </c>
      <c r="F25" s="5">
        <v>2000</v>
      </c>
      <c r="G25" t="s">
        <v>857</v>
      </c>
      <c r="H25" t="s">
        <v>858</v>
      </c>
      <c r="I25" s="1" t="s">
        <v>859</v>
      </c>
      <c r="J25" s="21" t="s">
        <v>1612</v>
      </c>
      <c r="K25" t="str">
        <f>VLOOKUP(Table6[[#This Row],[Company ID]],'[1]Coordinator Notes'!$B:$D,3,FALSE)</f>
        <v>Received</v>
      </c>
      <c r="L25" s="12" t="str">
        <f t="shared" si="0"/>
        <v>RECEIVED</v>
      </c>
      <c r="M25" s="26" t="b">
        <v>1</v>
      </c>
      <c r="N25" s="26" t="b">
        <v>1</v>
      </c>
      <c r="O25" s="26" t="b">
        <v>0</v>
      </c>
    </row>
    <row r="26" spans="1:15" ht="30" customHeight="1" x14ac:dyDescent="0.25">
      <c r="A26" t="s">
        <v>659</v>
      </c>
      <c r="B26" s="2">
        <v>578985</v>
      </c>
      <c r="C26" t="s">
        <v>806</v>
      </c>
      <c r="D26" s="1" t="s">
        <v>446</v>
      </c>
      <c r="E26" t="b">
        <v>0</v>
      </c>
      <c r="F26" s="5">
        <v>4800</v>
      </c>
      <c r="G26" t="s">
        <v>807</v>
      </c>
      <c r="H26" t="s">
        <v>808</v>
      </c>
      <c r="I26" s="1" t="s">
        <v>809</v>
      </c>
      <c r="J26" s="21" t="s">
        <v>1599</v>
      </c>
      <c r="K26" t="str">
        <f>VLOOKUP(Table6[[#This Row],[Company ID]],'[1]Coordinator Notes'!$B:$D,3,FALSE)</f>
        <v>Delayed – EOD</v>
      </c>
      <c r="L26" s="12" t="b">
        <f t="shared" si="0"/>
        <v>0</v>
      </c>
      <c r="M26" s="26" t="b">
        <v>0</v>
      </c>
      <c r="N26" s="26" t="b">
        <v>0</v>
      </c>
      <c r="O26" s="26" t="b">
        <v>0</v>
      </c>
    </row>
    <row r="27" spans="1:15" ht="30" customHeight="1" x14ac:dyDescent="0.25">
      <c r="A27" t="s">
        <v>659</v>
      </c>
      <c r="B27" s="2">
        <v>602155</v>
      </c>
      <c r="C27" t="s">
        <v>790</v>
      </c>
      <c r="D27" s="1" t="s">
        <v>587</v>
      </c>
      <c r="E27" t="b">
        <v>0</v>
      </c>
      <c r="F27" s="5">
        <v>74300</v>
      </c>
      <c r="G27" t="s">
        <v>791</v>
      </c>
      <c r="H27" t="s">
        <v>792</v>
      </c>
      <c r="I27" s="1" t="s">
        <v>793</v>
      </c>
      <c r="J27" s="21" t="s">
        <v>1613</v>
      </c>
      <c r="K27" t="str">
        <f>VLOOKUP(Table6[[#This Row],[Company ID]],'[1]Coordinator Notes'!$B:$D,3,FALSE)</f>
        <v>Received</v>
      </c>
      <c r="L27" s="12" t="str">
        <f t="shared" si="0"/>
        <v>RECEIVED</v>
      </c>
      <c r="M27" s="26" t="b">
        <v>0</v>
      </c>
      <c r="N27" s="26" t="b">
        <v>0</v>
      </c>
      <c r="O27" s="26" t="b">
        <v>1</v>
      </c>
    </row>
    <row r="28" spans="1:15" ht="30" customHeight="1" x14ac:dyDescent="0.25">
      <c r="A28" t="s">
        <v>659</v>
      </c>
      <c r="B28" s="2">
        <v>309544</v>
      </c>
      <c r="C28" t="s">
        <v>826</v>
      </c>
      <c r="D28" s="1" t="s">
        <v>622</v>
      </c>
      <c r="E28" t="b">
        <v>0</v>
      </c>
      <c r="F28" s="5">
        <v>118000</v>
      </c>
      <c r="G28" t="s">
        <v>827</v>
      </c>
      <c r="H28" t="s">
        <v>828</v>
      </c>
      <c r="I28" s="1" t="s">
        <v>829</v>
      </c>
      <c r="J28" s="21" t="s">
        <v>1614</v>
      </c>
      <c r="K28" t="str">
        <f>VLOOKUP(Table6[[#This Row],[Company ID]],'[1]Coordinator Notes'!$B:$D,3,FALSE)</f>
        <v>Delayed</v>
      </c>
      <c r="L28" s="12" t="b">
        <f t="shared" si="0"/>
        <v>0</v>
      </c>
      <c r="M28" s="26" t="b">
        <v>0</v>
      </c>
      <c r="N28" s="26" t="b">
        <v>0</v>
      </c>
      <c r="O28" s="26" t="b">
        <v>0</v>
      </c>
    </row>
    <row r="29" spans="1:15" ht="30" customHeight="1" x14ac:dyDescent="0.25">
      <c r="A29" t="s">
        <v>659</v>
      </c>
      <c r="B29" s="2">
        <v>372745</v>
      </c>
      <c r="C29" t="s">
        <v>672</v>
      </c>
      <c r="D29" s="1" t="s">
        <v>118</v>
      </c>
      <c r="E29" t="b">
        <v>1</v>
      </c>
      <c r="F29" s="5">
        <v>56000</v>
      </c>
      <c r="G29" t="s">
        <v>673</v>
      </c>
      <c r="H29" t="s">
        <v>674</v>
      </c>
      <c r="I29" s="1" t="s">
        <v>675</v>
      </c>
      <c r="J29" s="21" t="s">
        <v>1615</v>
      </c>
      <c r="K29" t="str">
        <f>VLOOKUP(Table6[[#This Row],[Company ID]],'[1]Coordinator Notes'!$B:$D,3,FALSE)</f>
        <v>Delayed</v>
      </c>
      <c r="L29" s="12" t="b">
        <f t="shared" si="0"/>
        <v>0</v>
      </c>
      <c r="M29" s="26" t="b">
        <v>0</v>
      </c>
      <c r="N29" s="26" t="b">
        <v>0</v>
      </c>
      <c r="O29" s="26" t="b">
        <v>0</v>
      </c>
    </row>
    <row r="30" spans="1:15" ht="30" customHeight="1" x14ac:dyDescent="0.25">
      <c r="A30" t="s">
        <v>659</v>
      </c>
      <c r="B30" s="2">
        <v>684935</v>
      </c>
      <c r="C30" t="s">
        <v>738</v>
      </c>
      <c r="D30" s="1" t="s">
        <v>216</v>
      </c>
      <c r="E30" t="b">
        <v>0</v>
      </c>
      <c r="F30" s="5">
        <v>16400</v>
      </c>
      <c r="G30" t="s">
        <v>739</v>
      </c>
      <c r="H30" t="s">
        <v>740</v>
      </c>
      <c r="I30" s="1" t="s">
        <v>741</v>
      </c>
      <c r="J30" s="21" t="s">
        <v>1616</v>
      </c>
      <c r="K30" t="str">
        <f>VLOOKUP(Table6[[#This Row],[Company ID]],'[1]Coordinator Notes'!$B:$D,3,FALSE)</f>
        <v>Received</v>
      </c>
      <c r="L30" s="12" t="str">
        <f t="shared" si="0"/>
        <v>RECEIVED</v>
      </c>
      <c r="M30" s="26" t="b">
        <v>0</v>
      </c>
      <c r="N30" s="26" t="b">
        <v>1</v>
      </c>
      <c r="O30" s="26" t="b">
        <v>0</v>
      </c>
    </row>
    <row r="31" spans="1:15" ht="30" customHeight="1" x14ac:dyDescent="0.25">
      <c r="A31" t="s">
        <v>659</v>
      </c>
      <c r="B31" s="2">
        <v>574921</v>
      </c>
      <c r="C31" t="s">
        <v>742</v>
      </c>
      <c r="D31" s="1" t="s">
        <v>216</v>
      </c>
      <c r="E31" t="b">
        <v>0</v>
      </c>
      <c r="F31" s="5">
        <v>24400</v>
      </c>
      <c r="G31" t="s">
        <v>743</v>
      </c>
      <c r="H31" t="s">
        <v>744</v>
      </c>
      <c r="I31" s="1" t="s">
        <v>745</v>
      </c>
      <c r="J31" s="21" t="s">
        <v>1617</v>
      </c>
      <c r="K31" t="str">
        <f>VLOOKUP(Table6[[#This Row],[Company ID]],'[1]Coordinator Notes'!$B:$D,3,FALSE)</f>
        <v>Delayed</v>
      </c>
      <c r="L31" s="12" t="b">
        <f t="shared" si="0"/>
        <v>0</v>
      </c>
      <c r="M31" s="26" t="b">
        <v>0</v>
      </c>
      <c r="N31" s="26" t="b">
        <v>0</v>
      </c>
      <c r="O31" s="26" t="b">
        <v>0</v>
      </c>
    </row>
    <row r="32" spans="1:15" ht="30" customHeight="1" x14ac:dyDescent="0.25">
      <c r="A32" t="s">
        <v>659</v>
      </c>
      <c r="B32" s="2">
        <v>546459</v>
      </c>
      <c r="C32" t="s">
        <v>830</v>
      </c>
      <c r="D32" s="1" t="s">
        <v>622</v>
      </c>
      <c r="E32" t="b">
        <v>0</v>
      </c>
      <c r="F32" s="5">
        <v>8200</v>
      </c>
      <c r="G32" t="s">
        <v>831</v>
      </c>
      <c r="H32" t="s">
        <v>832</v>
      </c>
      <c r="I32" s="1" t="s">
        <v>833</v>
      </c>
      <c r="J32" s="21" t="s">
        <v>1618</v>
      </c>
      <c r="K32" t="str">
        <f>VLOOKUP(Table6[[#This Row],[Company ID]],'[1]Coordinator Notes'!$B:$D,3,FALSE)</f>
        <v>Delayed</v>
      </c>
      <c r="L32" s="12" t="b">
        <f t="shared" si="0"/>
        <v>0</v>
      </c>
      <c r="M32" s="26" t="b">
        <v>0</v>
      </c>
      <c r="N32" s="26" t="b">
        <v>0</v>
      </c>
      <c r="O32" s="26" t="b">
        <v>0</v>
      </c>
    </row>
    <row r="33" spans="1:15" ht="30" customHeight="1" x14ac:dyDescent="0.25">
      <c r="A33" t="s">
        <v>659</v>
      </c>
      <c r="B33" s="2">
        <v>379409</v>
      </c>
      <c r="C33" t="s">
        <v>774</v>
      </c>
      <c r="D33" s="1" t="s">
        <v>437</v>
      </c>
      <c r="E33" t="b">
        <v>0</v>
      </c>
      <c r="F33" s="5">
        <v>50600</v>
      </c>
      <c r="G33" t="s">
        <v>775</v>
      </c>
      <c r="H33" t="s">
        <v>776</v>
      </c>
      <c r="I33" s="1" t="s">
        <v>777</v>
      </c>
      <c r="J33" s="21" t="s">
        <v>1619</v>
      </c>
      <c r="K33" t="str">
        <f>VLOOKUP(Table6[[#This Row],[Company ID]],'[1]Coordinator Notes'!$B:$D,3,FALSE)</f>
        <v>Completion</v>
      </c>
      <c r="L33" s="12" t="b">
        <f t="shared" si="0"/>
        <v>1</v>
      </c>
      <c r="M33" s="26" t="b">
        <v>1</v>
      </c>
      <c r="N33" s="26" t="b">
        <v>1</v>
      </c>
      <c r="O33" s="26" t="b">
        <v>1</v>
      </c>
    </row>
    <row r="34" spans="1:15" ht="30" customHeight="1" x14ac:dyDescent="0.25">
      <c r="A34" t="s">
        <v>659</v>
      </c>
      <c r="B34" s="2">
        <v>622632</v>
      </c>
      <c r="C34" t="s">
        <v>794</v>
      </c>
      <c r="D34" s="1" t="s">
        <v>587</v>
      </c>
      <c r="E34" t="b">
        <v>0</v>
      </c>
      <c r="F34" s="5">
        <v>111800</v>
      </c>
      <c r="G34" t="s">
        <v>795</v>
      </c>
      <c r="H34" t="s">
        <v>796</v>
      </c>
      <c r="I34" s="1" t="s">
        <v>797</v>
      </c>
      <c r="J34" s="21" t="s">
        <v>1620</v>
      </c>
      <c r="K34" t="str">
        <f>VLOOKUP(Table6[[#This Row],[Company ID]],'[1]Coordinator Notes'!$B:$D,3,FALSE)</f>
        <v>Delayed – EOD</v>
      </c>
      <c r="L34" s="12" t="b">
        <f t="shared" si="0"/>
        <v>0</v>
      </c>
      <c r="M34" s="26" t="b">
        <v>0</v>
      </c>
      <c r="N34" s="26" t="b">
        <v>0</v>
      </c>
      <c r="O34" s="26" t="b">
        <v>0</v>
      </c>
    </row>
    <row r="35" spans="1:15" ht="30" customHeight="1" x14ac:dyDescent="0.25">
      <c r="A35" t="s">
        <v>659</v>
      </c>
      <c r="B35" s="2">
        <v>304038</v>
      </c>
      <c r="C35" t="s">
        <v>664</v>
      </c>
      <c r="D35" s="1" t="s">
        <v>61</v>
      </c>
      <c r="E35" t="b">
        <v>1</v>
      </c>
      <c r="F35" s="5">
        <v>136200</v>
      </c>
      <c r="G35" t="s">
        <v>665</v>
      </c>
      <c r="H35" t="s">
        <v>666</v>
      </c>
      <c r="I35" s="1" t="s">
        <v>667</v>
      </c>
      <c r="J35" s="21" t="s">
        <v>1621</v>
      </c>
      <c r="K35" t="str">
        <f>VLOOKUP(Table6[[#This Row],[Company ID]],'[1]Coordinator Notes'!$B:$D,3,FALSE)</f>
        <v>Completion</v>
      </c>
      <c r="L35" s="12" t="b">
        <f t="shared" si="0"/>
        <v>1</v>
      </c>
      <c r="M35" s="26" t="b">
        <v>1</v>
      </c>
      <c r="N35" s="26" t="b">
        <v>1</v>
      </c>
      <c r="O35" s="26" t="b">
        <v>1</v>
      </c>
    </row>
    <row r="36" spans="1:15" ht="30" customHeight="1" x14ac:dyDescent="0.25">
      <c r="A36" t="s">
        <v>659</v>
      </c>
      <c r="B36" s="2">
        <v>114714</v>
      </c>
      <c r="C36" t="s">
        <v>834</v>
      </c>
      <c r="D36" s="1" t="s">
        <v>622</v>
      </c>
      <c r="E36" t="b">
        <v>0</v>
      </c>
      <c r="F36" s="5">
        <v>9100</v>
      </c>
      <c r="G36" t="s">
        <v>835</v>
      </c>
      <c r="H36" t="s">
        <v>836</v>
      </c>
      <c r="I36" s="1" t="s">
        <v>837</v>
      </c>
      <c r="J36" s="21" t="s">
        <v>1536</v>
      </c>
      <c r="K36" t="str">
        <f>VLOOKUP(Table6[[#This Row],[Company ID]],'[1]Coordinator Notes'!$B:$D,3,FALSE)</f>
        <v>Received</v>
      </c>
      <c r="L36" s="12" t="str">
        <f t="shared" si="0"/>
        <v>RECEIVED</v>
      </c>
      <c r="M36" s="26" t="b">
        <v>1</v>
      </c>
      <c r="N36" s="26" t="b">
        <v>0</v>
      </c>
      <c r="O36" s="26" t="b">
        <v>1</v>
      </c>
    </row>
    <row r="37" spans="1:15" ht="30" customHeight="1" x14ac:dyDescent="0.25">
      <c r="A37" t="s">
        <v>659</v>
      </c>
      <c r="B37" s="2">
        <v>796864</v>
      </c>
      <c r="C37" t="s">
        <v>668</v>
      </c>
      <c r="D37" s="1" t="s">
        <v>61</v>
      </c>
      <c r="E37" t="b">
        <v>1</v>
      </c>
      <c r="F37" s="5">
        <v>214700</v>
      </c>
      <c r="G37" t="s">
        <v>669</v>
      </c>
      <c r="H37" t="s">
        <v>670</v>
      </c>
      <c r="I37" s="1" t="s">
        <v>671</v>
      </c>
      <c r="J37" s="21" t="s">
        <v>1622</v>
      </c>
      <c r="K37" t="str">
        <f>VLOOKUP(Table6[[#This Row],[Company ID]],'[1]Coordinator Notes'!$B:$D,3,FALSE)</f>
        <v>Delayed</v>
      </c>
      <c r="L37" s="12" t="b">
        <f t="shared" si="0"/>
        <v>0</v>
      </c>
      <c r="M37" s="26" t="b">
        <v>0</v>
      </c>
      <c r="N37" s="26" t="b">
        <v>0</v>
      </c>
      <c r="O37" s="26" t="b">
        <v>0</v>
      </c>
    </row>
    <row r="38" spans="1:15" ht="30" customHeight="1" x14ac:dyDescent="0.25">
      <c r="A38" t="s">
        <v>659</v>
      </c>
      <c r="B38" s="2">
        <v>711388</v>
      </c>
      <c r="C38" t="s">
        <v>754</v>
      </c>
      <c r="D38" s="1" t="s">
        <v>432</v>
      </c>
      <c r="E38" t="b">
        <v>0</v>
      </c>
      <c r="F38" s="5">
        <v>104700</v>
      </c>
      <c r="G38" t="s">
        <v>755</v>
      </c>
      <c r="H38" t="s">
        <v>756</v>
      </c>
      <c r="I38" s="1" t="s">
        <v>757</v>
      </c>
      <c r="J38" s="21" t="s">
        <v>1492</v>
      </c>
      <c r="K38" t="str">
        <f>VLOOKUP(Table6[[#This Row],[Company ID]],'[1]Coordinator Notes'!$B:$D,3,FALSE)</f>
        <v>Received</v>
      </c>
      <c r="L38" s="12" t="str">
        <f t="shared" ref="L38:L58" si="1">IF(COUNTIF(M38:O38, TRUE) =3,TRUE, IF(COUNTIF(M38:O38,TRUE)&gt;=1,"RECEIVED", FALSE))</f>
        <v>RECEIVED</v>
      </c>
      <c r="M38" s="26" t="b">
        <v>1</v>
      </c>
      <c r="N38" s="26" t="b">
        <v>0</v>
      </c>
      <c r="O38" s="26" t="b">
        <v>0</v>
      </c>
    </row>
    <row r="39" spans="1:15" ht="30" customHeight="1" x14ac:dyDescent="0.25">
      <c r="A39" t="s">
        <v>659</v>
      </c>
      <c r="B39" s="2">
        <v>716494</v>
      </c>
      <c r="C39" t="s">
        <v>810</v>
      </c>
      <c r="D39" s="1" t="s">
        <v>446</v>
      </c>
      <c r="E39" t="b">
        <v>0</v>
      </c>
      <c r="F39" s="5">
        <v>28600</v>
      </c>
      <c r="G39" t="s">
        <v>811</v>
      </c>
      <c r="H39" t="s">
        <v>812</v>
      </c>
      <c r="I39" s="1" t="s">
        <v>813</v>
      </c>
      <c r="J39" s="21" t="s">
        <v>1557</v>
      </c>
      <c r="K39" t="str">
        <f>VLOOKUP(Table6[[#This Row],[Company ID]],'[1]Coordinator Notes'!$B:$D,3,FALSE)</f>
        <v>Completion</v>
      </c>
      <c r="L39" s="12" t="b">
        <f t="shared" si="1"/>
        <v>1</v>
      </c>
      <c r="M39" s="26" t="b">
        <v>1</v>
      </c>
      <c r="N39" s="26" t="b">
        <v>1</v>
      </c>
      <c r="O39" s="26" t="b">
        <v>1</v>
      </c>
    </row>
    <row r="40" spans="1:15" ht="30" customHeight="1" x14ac:dyDescent="0.25">
      <c r="A40" t="s">
        <v>659</v>
      </c>
      <c r="B40" s="2">
        <v>629238</v>
      </c>
      <c r="C40" t="s">
        <v>726</v>
      </c>
      <c r="D40" s="1" t="s">
        <v>520</v>
      </c>
      <c r="E40" t="b">
        <v>0</v>
      </c>
      <c r="F40" s="5">
        <v>59200</v>
      </c>
      <c r="G40" t="s">
        <v>727</v>
      </c>
      <c r="H40" t="s">
        <v>728</v>
      </c>
      <c r="I40" s="1" t="s">
        <v>729</v>
      </c>
      <c r="J40" s="21" t="s">
        <v>1623</v>
      </c>
      <c r="K40" t="str">
        <f>VLOOKUP(Table6[[#This Row],[Company ID]],'[1]Coordinator Notes'!$B:$D,3,FALSE)</f>
        <v>Delayed – EOD</v>
      </c>
      <c r="L40" s="12" t="b">
        <f t="shared" si="1"/>
        <v>0</v>
      </c>
      <c r="M40" s="26" t="b">
        <v>0</v>
      </c>
      <c r="N40" s="26" t="b">
        <v>0</v>
      </c>
      <c r="O40" s="26" t="b">
        <v>0</v>
      </c>
    </row>
    <row r="41" spans="1:15" ht="30" customHeight="1" x14ac:dyDescent="0.25">
      <c r="A41" t="s">
        <v>659</v>
      </c>
      <c r="B41" s="2">
        <v>538072</v>
      </c>
      <c r="C41" t="s">
        <v>734</v>
      </c>
      <c r="D41" s="1" t="s">
        <v>419</v>
      </c>
      <c r="E41" t="b">
        <v>0</v>
      </c>
      <c r="F41" s="5">
        <v>142500</v>
      </c>
      <c r="G41" t="s">
        <v>735</v>
      </c>
      <c r="H41" t="s">
        <v>736</v>
      </c>
      <c r="I41" s="1" t="s">
        <v>737</v>
      </c>
      <c r="J41" s="21" t="s">
        <v>1511</v>
      </c>
      <c r="K41" t="str">
        <f>VLOOKUP(Table6[[#This Row],[Company ID]],'[1]Coordinator Notes'!$B:$D,3,FALSE)</f>
        <v>Completion</v>
      </c>
      <c r="L41" s="12" t="b">
        <f t="shared" si="1"/>
        <v>1</v>
      </c>
      <c r="M41" s="26" t="b">
        <v>1</v>
      </c>
      <c r="N41" s="26" t="b">
        <v>1</v>
      </c>
      <c r="O41" s="26" t="b">
        <v>1</v>
      </c>
    </row>
    <row r="42" spans="1:15" ht="30" customHeight="1" x14ac:dyDescent="0.25">
      <c r="A42" t="s">
        <v>659</v>
      </c>
      <c r="B42" s="2">
        <v>632364</v>
      </c>
      <c r="C42" t="s">
        <v>718</v>
      </c>
      <c r="D42" s="1" t="s">
        <v>211</v>
      </c>
      <c r="E42" t="b">
        <v>0</v>
      </c>
      <c r="F42" s="5">
        <v>16900</v>
      </c>
      <c r="G42" t="s">
        <v>719</v>
      </c>
      <c r="H42" t="s">
        <v>720</v>
      </c>
      <c r="I42" s="1" t="s">
        <v>721</v>
      </c>
      <c r="J42" s="21" t="s">
        <v>1557</v>
      </c>
      <c r="K42" t="str">
        <f>VLOOKUP(Table6[[#This Row],[Company ID]],'[1]Coordinator Notes'!$B:$D,3,FALSE)</f>
        <v>Completion</v>
      </c>
      <c r="L42" s="12" t="b">
        <f t="shared" si="1"/>
        <v>1</v>
      </c>
      <c r="M42" s="26" t="b">
        <v>1</v>
      </c>
      <c r="N42" s="26" t="b">
        <v>1</v>
      </c>
      <c r="O42" s="26" t="b">
        <v>1</v>
      </c>
    </row>
    <row r="43" spans="1:15" ht="30" customHeight="1" x14ac:dyDescent="0.25">
      <c r="A43" t="s">
        <v>659</v>
      </c>
      <c r="B43" s="2">
        <v>532054</v>
      </c>
      <c r="C43" t="s">
        <v>746</v>
      </c>
      <c r="D43" s="1" t="s">
        <v>216</v>
      </c>
      <c r="E43" t="b">
        <v>0</v>
      </c>
      <c r="F43" s="5">
        <v>40900</v>
      </c>
      <c r="G43" t="s">
        <v>747</v>
      </c>
      <c r="H43" t="s">
        <v>748</v>
      </c>
      <c r="I43" s="1" t="s">
        <v>749</v>
      </c>
      <c r="J43" s="21" t="s">
        <v>1611</v>
      </c>
      <c r="K43" t="str">
        <f>VLOOKUP(Table6[[#This Row],[Company ID]],'[1]Coordinator Notes'!$B:$D,3,FALSE)</f>
        <v>Completion</v>
      </c>
      <c r="L43" s="12" t="b">
        <f t="shared" si="1"/>
        <v>1</v>
      </c>
      <c r="M43" s="26" t="b">
        <v>1</v>
      </c>
      <c r="N43" s="26" t="b">
        <v>1</v>
      </c>
      <c r="O43" s="26" t="b">
        <v>1</v>
      </c>
    </row>
    <row r="44" spans="1:15" ht="30" customHeight="1" x14ac:dyDescent="0.25">
      <c r="A44" t="s">
        <v>659</v>
      </c>
      <c r="B44" s="2">
        <v>306251</v>
      </c>
      <c r="C44" t="s">
        <v>676</v>
      </c>
      <c r="D44" s="1" t="s">
        <v>160</v>
      </c>
      <c r="E44" t="b">
        <v>1</v>
      </c>
      <c r="F44" s="5">
        <v>12000</v>
      </c>
      <c r="G44" t="s">
        <v>677</v>
      </c>
      <c r="H44" t="s">
        <v>678</v>
      </c>
      <c r="I44" s="1" t="s">
        <v>679</v>
      </c>
      <c r="J44" s="21" t="s">
        <v>1624</v>
      </c>
      <c r="K44" t="str">
        <f>VLOOKUP(Table6[[#This Row],[Company ID]],'[1]Coordinator Notes'!$B:$D,3,FALSE)</f>
        <v>Delayed – EOD</v>
      </c>
      <c r="L44" s="12" t="b">
        <f t="shared" si="1"/>
        <v>0</v>
      </c>
      <c r="M44" s="26" t="b">
        <v>0</v>
      </c>
      <c r="N44" s="26" t="b">
        <v>0</v>
      </c>
      <c r="O44" s="26" t="b">
        <v>0</v>
      </c>
    </row>
    <row r="45" spans="1:15" ht="30" customHeight="1" x14ac:dyDescent="0.25">
      <c r="A45" t="s">
        <v>659</v>
      </c>
      <c r="B45" s="2">
        <v>114818</v>
      </c>
      <c r="C45" t="s">
        <v>660</v>
      </c>
      <c r="D45" s="1" t="s">
        <v>28</v>
      </c>
      <c r="E45" t="b">
        <v>1</v>
      </c>
      <c r="F45" s="5">
        <v>90800</v>
      </c>
      <c r="G45" t="s">
        <v>661</v>
      </c>
      <c r="H45" t="s">
        <v>662</v>
      </c>
      <c r="I45" s="1" t="s">
        <v>663</v>
      </c>
      <c r="J45" s="21" t="s">
        <v>1573</v>
      </c>
      <c r="K45" t="str">
        <f>VLOOKUP(Table6[[#This Row],[Company ID]],'[1]Coordinator Notes'!$B:$D,3,FALSE)</f>
        <v>Completion</v>
      </c>
      <c r="L45" s="12" t="b">
        <f t="shared" si="1"/>
        <v>1</v>
      </c>
      <c r="M45" s="26" t="b">
        <v>1</v>
      </c>
      <c r="N45" s="26" t="b">
        <v>1</v>
      </c>
      <c r="O45" s="26" t="b">
        <v>1</v>
      </c>
    </row>
    <row r="46" spans="1:15" ht="30" customHeight="1" x14ac:dyDescent="0.25">
      <c r="A46" t="s">
        <v>659</v>
      </c>
      <c r="B46" s="2">
        <v>463874</v>
      </c>
      <c r="C46" t="s">
        <v>758</v>
      </c>
      <c r="D46" s="1" t="s">
        <v>432</v>
      </c>
      <c r="E46" t="b">
        <v>0</v>
      </c>
      <c r="F46" s="5">
        <v>198200</v>
      </c>
      <c r="G46" t="s">
        <v>759</v>
      </c>
      <c r="H46" t="s">
        <v>760</v>
      </c>
      <c r="I46" s="1" t="s">
        <v>761</v>
      </c>
      <c r="J46" s="21" t="s">
        <v>1625</v>
      </c>
      <c r="K46" t="str">
        <f>VLOOKUP(Table6[[#This Row],[Company ID]],'[1]Coordinator Notes'!$B:$D,3,FALSE)</f>
        <v>Delayed</v>
      </c>
      <c r="L46" s="12" t="b">
        <f t="shared" si="1"/>
        <v>0</v>
      </c>
      <c r="M46" s="26" t="b">
        <v>0</v>
      </c>
      <c r="N46" s="26" t="b">
        <v>0</v>
      </c>
      <c r="O46" s="26" t="b">
        <v>0</v>
      </c>
    </row>
    <row r="47" spans="1:15" ht="30" customHeight="1" x14ac:dyDescent="0.25">
      <c r="A47" t="s">
        <v>659</v>
      </c>
      <c r="B47" s="2">
        <v>777665</v>
      </c>
      <c r="C47" t="s">
        <v>750</v>
      </c>
      <c r="D47" s="1" t="s">
        <v>221</v>
      </c>
      <c r="E47" t="b">
        <v>0</v>
      </c>
      <c r="F47" s="5">
        <v>1900</v>
      </c>
      <c r="G47" t="s">
        <v>751</v>
      </c>
      <c r="H47" t="s">
        <v>752</v>
      </c>
      <c r="I47" s="1" t="s">
        <v>753</v>
      </c>
      <c r="J47" s="21" t="s">
        <v>1553</v>
      </c>
      <c r="K47" t="str">
        <f>VLOOKUP(Table6[[#This Row],[Company ID]],'[1]Coordinator Notes'!$B:$D,3,FALSE)</f>
        <v>Completion</v>
      </c>
      <c r="L47" s="12" t="b">
        <f t="shared" si="1"/>
        <v>1</v>
      </c>
      <c r="M47" s="26" t="b">
        <v>1</v>
      </c>
      <c r="N47" s="26" t="b">
        <v>1</v>
      </c>
      <c r="O47" s="26" t="b">
        <v>1</v>
      </c>
    </row>
    <row r="48" spans="1:15" ht="30" customHeight="1" x14ac:dyDescent="0.25">
      <c r="A48" t="s">
        <v>659</v>
      </c>
      <c r="B48" s="2">
        <v>748655</v>
      </c>
      <c r="C48" t="s">
        <v>860</v>
      </c>
      <c r="D48" s="1" t="s">
        <v>647</v>
      </c>
      <c r="E48" t="b">
        <v>0</v>
      </c>
      <c r="F48" s="5">
        <v>17200</v>
      </c>
      <c r="G48" t="s">
        <v>861</v>
      </c>
      <c r="H48" t="s">
        <v>237</v>
      </c>
      <c r="I48" s="1" t="s">
        <v>862</v>
      </c>
      <c r="J48" s="21" t="s">
        <v>1626</v>
      </c>
      <c r="K48" t="str">
        <f>VLOOKUP(Table6[[#This Row],[Company ID]],'[1]Coordinator Notes'!$B:$D,3,FALSE)</f>
        <v>Delayed</v>
      </c>
      <c r="L48" s="12" t="b">
        <f t="shared" si="1"/>
        <v>0</v>
      </c>
      <c r="M48" s="26" t="b">
        <v>0</v>
      </c>
      <c r="N48" s="26" t="b">
        <v>0</v>
      </c>
      <c r="O48" s="26" t="b">
        <v>0</v>
      </c>
    </row>
    <row r="49" spans="1:15" ht="30" customHeight="1" x14ac:dyDescent="0.25">
      <c r="A49" t="s">
        <v>659</v>
      </c>
      <c r="B49" s="2">
        <v>172884</v>
      </c>
      <c r="C49" t="s">
        <v>838</v>
      </c>
      <c r="D49" s="1" t="s">
        <v>622</v>
      </c>
      <c r="E49" t="b">
        <v>0</v>
      </c>
      <c r="F49" s="5">
        <v>12000</v>
      </c>
      <c r="G49" t="s">
        <v>839</v>
      </c>
      <c r="H49" t="s">
        <v>840</v>
      </c>
      <c r="I49" s="1" t="s">
        <v>841</v>
      </c>
      <c r="J49" s="21" t="s">
        <v>1627</v>
      </c>
      <c r="K49" t="str">
        <f>VLOOKUP(Table6[[#This Row],[Company ID]],'[1]Coordinator Notes'!$B:$D,3,FALSE)</f>
        <v>Delayed</v>
      </c>
      <c r="L49" s="12" t="b">
        <f t="shared" si="1"/>
        <v>0</v>
      </c>
      <c r="M49" s="26" t="b">
        <v>0</v>
      </c>
      <c r="N49" s="26" t="b">
        <v>0</v>
      </c>
      <c r="O49" s="26" t="b">
        <v>0</v>
      </c>
    </row>
    <row r="50" spans="1:15" ht="30" customHeight="1" x14ac:dyDescent="0.25">
      <c r="A50" t="s">
        <v>659</v>
      </c>
      <c r="B50" s="2">
        <v>673942</v>
      </c>
      <c r="C50" t="s">
        <v>798</v>
      </c>
      <c r="D50" s="1" t="s">
        <v>603</v>
      </c>
      <c r="E50" t="b">
        <v>0</v>
      </c>
      <c r="F50" s="5">
        <v>2700</v>
      </c>
      <c r="G50" t="s">
        <v>799</v>
      </c>
      <c r="H50" t="s">
        <v>800</v>
      </c>
      <c r="I50" s="1" t="s">
        <v>801</v>
      </c>
      <c r="J50" s="21" t="s">
        <v>1592</v>
      </c>
      <c r="K50" t="str">
        <f>VLOOKUP(Table6[[#This Row],[Company ID]],'[1]Coordinator Notes'!$B:$D,3,FALSE)</f>
        <v>Completion</v>
      </c>
      <c r="L50" s="12" t="b">
        <f t="shared" si="1"/>
        <v>1</v>
      </c>
      <c r="M50" s="26" t="b">
        <v>1</v>
      </c>
      <c r="N50" s="26" t="b">
        <v>1</v>
      </c>
      <c r="O50" s="26" t="b">
        <v>1</v>
      </c>
    </row>
    <row r="51" spans="1:15" ht="30" customHeight="1" x14ac:dyDescent="0.25">
      <c r="A51" t="s">
        <v>659</v>
      </c>
      <c r="B51" s="2">
        <v>297687</v>
      </c>
      <c r="C51" t="s">
        <v>730</v>
      </c>
      <c r="D51" s="1" t="s">
        <v>520</v>
      </c>
      <c r="E51" t="b">
        <v>0</v>
      </c>
      <c r="F51" s="5">
        <v>72300</v>
      </c>
      <c r="G51" t="s">
        <v>731</v>
      </c>
      <c r="H51" t="s">
        <v>732</v>
      </c>
      <c r="I51" s="1" t="s">
        <v>733</v>
      </c>
      <c r="J51" s="21" t="s">
        <v>1567</v>
      </c>
      <c r="K51" t="str">
        <f>VLOOKUP(Table6[[#This Row],[Company ID]],'[1]Coordinator Notes'!$B:$D,3,FALSE)</f>
        <v>Completion</v>
      </c>
      <c r="L51" s="12" t="b">
        <f t="shared" si="1"/>
        <v>1</v>
      </c>
      <c r="M51" s="26" t="b">
        <v>1</v>
      </c>
      <c r="N51" s="26" t="b">
        <v>1</v>
      </c>
      <c r="O51" s="26" t="b">
        <v>1</v>
      </c>
    </row>
    <row r="52" spans="1:15" ht="30" customHeight="1" x14ac:dyDescent="0.25">
      <c r="A52" t="s">
        <v>659</v>
      </c>
      <c r="B52" s="2">
        <v>923560</v>
      </c>
      <c r="C52" t="s">
        <v>863</v>
      </c>
      <c r="D52" s="1" t="s">
        <v>647</v>
      </c>
      <c r="E52" t="b">
        <v>0</v>
      </c>
      <c r="F52" s="5">
        <v>23200</v>
      </c>
      <c r="G52" t="s">
        <v>864</v>
      </c>
      <c r="H52" t="s">
        <v>865</v>
      </c>
      <c r="I52" s="1" t="s">
        <v>866</v>
      </c>
      <c r="J52" s="21" t="s">
        <v>1531</v>
      </c>
      <c r="K52" t="str">
        <f>VLOOKUP(Table6[[#This Row],[Company ID]],'[1]Coordinator Notes'!$B:$D,3,FALSE)</f>
        <v>Completion</v>
      </c>
      <c r="L52" s="12" t="b">
        <f t="shared" si="1"/>
        <v>1</v>
      </c>
      <c r="M52" s="26" t="b">
        <v>1</v>
      </c>
      <c r="N52" s="26" t="b">
        <v>1</v>
      </c>
      <c r="O52" s="26" t="b">
        <v>1</v>
      </c>
    </row>
    <row r="53" spans="1:15" ht="30" customHeight="1" x14ac:dyDescent="0.25">
      <c r="A53" t="s">
        <v>659</v>
      </c>
      <c r="B53" s="2">
        <v>182479</v>
      </c>
      <c r="C53" t="s">
        <v>848</v>
      </c>
      <c r="D53" s="1" t="s">
        <v>230</v>
      </c>
      <c r="E53" t="b">
        <v>0</v>
      </c>
      <c r="F53" s="5">
        <v>35800</v>
      </c>
      <c r="G53" t="s">
        <v>849</v>
      </c>
      <c r="H53" t="s">
        <v>850</v>
      </c>
      <c r="I53" s="1" t="s">
        <v>851</v>
      </c>
      <c r="J53" s="21" t="s">
        <v>1628</v>
      </c>
      <c r="K53" t="str">
        <f>VLOOKUP(Table6[[#This Row],[Company ID]],'[1]Coordinator Notes'!$B:$D,3,FALSE)</f>
        <v>Completion</v>
      </c>
      <c r="L53" s="12" t="b">
        <f t="shared" si="1"/>
        <v>1</v>
      </c>
      <c r="M53" s="26" t="b">
        <v>1</v>
      </c>
      <c r="N53" s="26" t="b">
        <v>1</v>
      </c>
      <c r="O53" s="26" t="b">
        <v>1</v>
      </c>
    </row>
    <row r="54" spans="1:15" ht="30" customHeight="1" x14ac:dyDescent="0.25">
      <c r="A54" t="s">
        <v>659</v>
      </c>
      <c r="B54" s="2">
        <v>376240</v>
      </c>
      <c r="C54" t="s">
        <v>722</v>
      </c>
      <c r="D54" s="1" t="s">
        <v>211</v>
      </c>
      <c r="E54" t="b">
        <v>0</v>
      </c>
      <c r="F54" s="5">
        <v>136100</v>
      </c>
      <c r="G54" t="s">
        <v>723</v>
      </c>
      <c r="H54" t="s">
        <v>724</v>
      </c>
      <c r="I54" s="1" t="s">
        <v>725</v>
      </c>
      <c r="J54" s="21" t="s">
        <v>1611</v>
      </c>
      <c r="K54" t="str">
        <f>VLOOKUP(Table6[[#This Row],[Company ID]],'[1]Coordinator Notes'!$B:$D,3,FALSE)</f>
        <v>Completion</v>
      </c>
      <c r="L54" s="12" t="b">
        <f t="shared" si="1"/>
        <v>1</v>
      </c>
      <c r="M54" s="26" t="b">
        <v>1</v>
      </c>
      <c r="N54" s="26" t="b">
        <v>1</v>
      </c>
      <c r="O54" s="26" t="b">
        <v>1</v>
      </c>
    </row>
    <row r="55" spans="1:15" ht="30" customHeight="1" x14ac:dyDescent="0.25">
      <c r="A55" t="s">
        <v>659</v>
      </c>
      <c r="B55" s="2">
        <v>586450</v>
      </c>
      <c r="C55" t="s">
        <v>782</v>
      </c>
      <c r="D55" s="1" t="s">
        <v>441</v>
      </c>
      <c r="E55" t="b">
        <v>0</v>
      </c>
      <c r="F55" s="5">
        <v>14400</v>
      </c>
      <c r="G55" t="s">
        <v>783</v>
      </c>
      <c r="H55" t="s">
        <v>784</v>
      </c>
      <c r="I55" s="1" t="s">
        <v>785</v>
      </c>
      <c r="J55" s="21" t="s">
        <v>1489</v>
      </c>
      <c r="K55" t="str">
        <f>VLOOKUP(Table6[[#This Row],[Company ID]],'[1]Coordinator Notes'!$B:$D,3,FALSE)</f>
        <v>Received</v>
      </c>
      <c r="L55" s="12" t="str">
        <f t="shared" si="1"/>
        <v>RECEIVED</v>
      </c>
      <c r="M55" s="26" t="b">
        <v>1</v>
      </c>
      <c r="N55" s="26" t="b">
        <v>0</v>
      </c>
      <c r="O55" s="26" t="b">
        <v>1</v>
      </c>
    </row>
    <row r="56" spans="1:15" ht="30" customHeight="1" x14ac:dyDescent="0.25">
      <c r="A56" t="s">
        <v>659</v>
      </c>
      <c r="B56" s="2">
        <v>621773</v>
      </c>
      <c r="C56" t="s">
        <v>762</v>
      </c>
      <c r="D56" s="1" t="s">
        <v>432</v>
      </c>
      <c r="E56" t="b">
        <v>0</v>
      </c>
      <c r="F56" s="5">
        <v>153500</v>
      </c>
      <c r="G56" t="s">
        <v>763</v>
      </c>
      <c r="H56" t="s">
        <v>764</v>
      </c>
      <c r="I56" s="1" t="s">
        <v>765</v>
      </c>
      <c r="J56" s="21" t="s">
        <v>1629</v>
      </c>
      <c r="K56" t="str">
        <f>VLOOKUP(Table6[[#This Row],[Company ID]],'[1]Coordinator Notes'!$B:$D,3,FALSE)</f>
        <v>Received</v>
      </c>
      <c r="L56" s="12" t="str">
        <f t="shared" si="1"/>
        <v>RECEIVED</v>
      </c>
      <c r="M56" s="26" t="b">
        <v>1</v>
      </c>
      <c r="N56" s="26" t="b">
        <v>0</v>
      </c>
      <c r="O56" s="26" t="b">
        <v>0</v>
      </c>
    </row>
    <row r="57" spans="1:15" ht="30" customHeight="1" x14ac:dyDescent="0.25">
      <c r="A57" t="s">
        <v>659</v>
      </c>
      <c r="B57" s="2">
        <v>935413</v>
      </c>
      <c r="C57" t="s">
        <v>814</v>
      </c>
      <c r="D57" s="1" t="s">
        <v>446</v>
      </c>
      <c r="E57" t="b">
        <v>0</v>
      </c>
      <c r="F57" s="5">
        <v>38500</v>
      </c>
      <c r="G57" t="s">
        <v>815</v>
      </c>
      <c r="H57" t="s">
        <v>816</v>
      </c>
      <c r="I57" s="1" t="s">
        <v>817</v>
      </c>
      <c r="J57" s="21" t="s">
        <v>1530</v>
      </c>
      <c r="K57" t="str">
        <f>VLOOKUP(Table6[[#This Row],[Company ID]],'[1]Coordinator Notes'!$B:$D,3,FALSE)</f>
        <v>Completion</v>
      </c>
      <c r="L57" s="12" t="b">
        <f t="shared" si="1"/>
        <v>1</v>
      </c>
      <c r="M57" s="26" t="b">
        <v>1</v>
      </c>
      <c r="N57" s="26" t="b">
        <v>1</v>
      </c>
      <c r="O57" s="26" t="b">
        <v>1</v>
      </c>
    </row>
    <row r="58" spans="1:15" ht="30" customHeight="1" x14ac:dyDescent="0.25">
      <c r="A58" t="s">
        <v>659</v>
      </c>
      <c r="B58" s="2">
        <v>671536</v>
      </c>
      <c r="C58" t="s">
        <v>766</v>
      </c>
      <c r="D58" s="1" t="s">
        <v>432</v>
      </c>
      <c r="E58" t="b">
        <v>0</v>
      </c>
      <c r="F58" s="5">
        <v>9100</v>
      </c>
      <c r="G58" t="s">
        <v>767</v>
      </c>
      <c r="H58" t="s">
        <v>768</v>
      </c>
      <c r="I58" s="1" t="s">
        <v>769</v>
      </c>
      <c r="J58" s="21" t="s">
        <v>1603</v>
      </c>
      <c r="K58" t="str">
        <f>VLOOKUP(Table6[[#This Row],[Company ID]],'[1]Coordinator Notes'!$B:$D,3,FALSE)</f>
        <v>Delayed – EOD</v>
      </c>
      <c r="L58" s="12" t="b">
        <f t="shared" si="1"/>
        <v>0</v>
      </c>
      <c r="M58" s="26" t="b">
        <v>0</v>
      </c>
      <c r="N58" s="26" t="b">
        <v>0</v>
      </c>
      <c r="O58" s="26" t="b">
        <v>0</v>
      </c>
    </row>
  </sheetData>
  <conditionalFormatting sqref="L6:L58">
    <cfRule type="containsText" dxfId="7" priority="1" operator="containsText" text="RECEIVED">
      <formula>NOT(ISERROR(SEARCH("RECEIVED",L6)))</formula>
    </cfRule>
    <cfRule type="containsText" dxfId="6" priority="2" operator="containsText" text="TRUE">
      <formula>NOT(ISERROR(SEARCH("TRUE",L6)))</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3AE04-23FD-434F-BE4D-87B6B6ED66DC}">
  <sheetPr>
    <tabColor theme="3" tint="0.39997558519241921"/>
  </sheetPr>
  <dimension ref="A1:O58"/>
  <sheetViews>
    <sheetView zoomScale="80" zoomScaleNormal="80" workbookViewId="0">
      <pane ySplit="5" topLeftCell="A6" activePane="bottomLeft" state="frozen"/>
      <selection pane="bottomLeft" activeCell="D2" sqref="D2"/>
    </sheetView>
  </sheetViews>
  <sheetFormatPr defaultRowHeight="15" x14ac:dyDescent="0.25"/>
  <cols>
    <col min="1" max="1" width="13.42578125" customWidth="1"/>
    <col min="2" max="2" width="14" customWidth="1"/>
    <col min="3" max="3" width="37.28515625" bestFit="1" customWidth="1"/>
    <col min="4" max="4" width="25" bestFit="1" customWidth="1"/>
    <col min="5" max="5" width="9.28515625" customWidth="1"/>
    <col min="6" max="6" width="15.140625" customWidth="1"/>
    <col min="7" max="7" width="16.28515625" bestFit="1" customWidth="1"/>
    <col min="8" max="8" width="15.7109375" customWidth="1"/>
    <col min="9" max="9" width="34.140625" bestFit="1" customWidth="1"/>
    <col min="10" max="10" width="35.7109375" customWidth="1"/>
    <col min="11" max="11" width="18.7109375" customWidth="1"/>
    <col min="12" max="12" width="18" customWidth="1"/>
    <col min="13" max="15" width="12.7109375" customWidth="1"/>
  </cols>
  <sheetData>
    <row r="1" spans="1:15" ht="15.75" x14ac:dyDescent="0.25">
      <c r="A1" s="61" t="s">
        <v>1482</v>
      </c>
      <c r="B1" s="62"/>
      <c r="C1" s="62"/>
    </row>
    <row r="2" spans="1:15" ht="15.75" x14ac:dyDescent="0.25">
      <c r="A2" s="61" t="s">
        <v>1672</v>
      </c>
      <c r="B2" s="62"/>
      <c r="C2" s="62"/>
    </row>
    <row r="5" spans="1:15" ht="30" customHeight="1" x14ac:dyDescent="0.25">
      <c r="A5" s="13" t="s">
        <v>0</v>
      </c>
      <c r="B5" s="13" t="s">
        <v>1</v>
      </c>
      <c r="C5" s="13" t="s">
        <v>2</v>
      </c>
      <c r="D5" s="13" t="s">
        <v>3</v>
      </c>
      <c r="E5" s="13" t="s">
        <v>4</v>
      </c>
      <c r="F5" s="13" t="s">
        <v>5</v>
      </c>
      <c r="G5" s="13" t="s">
        <v>6</v>
      </c>
      <c r="H5" s="13" t="s">
        <v>7</v>
      </c>
      <c r="I5" s="13" t="s">
        <v>8</v>
      </c>
      <c r="J5" s="13" t="s">
        <v>1468</v>
      </c>
      <c r="K5" s="13" t="s">
        <v>1469</v>
      </c>
      <c r="L5" s="13" t="s">
        <v>1470</v>
      </c>
      <c r="M5" s="13" t="s">
        <v>1471</v>
      </c>
      <c r="N5" s="13" t="s">
        <v>1472</v>
      </c>
      <c r="O5" s="13" t="s">
        <v>1473</v>
      </c>
    </row>
    <row r="6" spans="1:15" ht="30" customHeight="1" x14ac:dyDescent="0.25">
      <c r="A6" t="s">
        <v>867</v>
      </c>
      <c r="B6" s="2">
        <v>614750</v>
      </c>
      <c r="C6" t="s">
        <v>896</v>
      </c>
      <c r="D6" s="20" t="s">
        <v>206</v>
      </c>
      <c r="E6" t="b">
        <v>0</v>
      </c>
      <c r="F6" s="5">
        <v>99800</v>
      </c>
      <c r="G6" t="s">
        <v>897</v>
      </c>
      <c r="H6" t="s">
        <v>898</v>
      </c>
      <c r="I6" s="1" t="s">
        <v>899</v>
      </c>
      <c r="J6" s="21" t="str">
        <f>VLOOKUP(Table8[[#This Row],[Company ID]],'[1]Coordinator Notes'!$B:$C,2,FALSE)</f>
        <v>Received the COI and the W-9 through the portal today; the Spend authorization still pending. Contact acknowledged the request and is gathering the paperwork. Checking back Thursday.</v>
      </c>
      <c r="K6" t="str">
        <f>VLOOKUP(Table8[[#This Row],[Company ID]],'[1]Coordinator Notes'!$B:$D,3,FALSE)</f>
        <v>Received</v>
      </c>
      <c r="L6" s="12" t="str">
        <f t="shared" ref="L6:L37" si="0">IF(COUNTIF(M6:O6, TRUE) =3,TRUE, IF(COUNTIF(M6:O6,TRUE)&gt;=1,"RECEIVED", FALSE))</f>
        <v>RECEIVED</v>
      </c>
      <c r="M6" s="26" t="b">
        <v>0</v>
      </c>
      <c r="N6" s="26" t="b">
        <v>1</v>
      </c>
      <c r="O6" s="26" t="b">
        <v>0</v>
      </c>
    </row>
    <row r="7" spans="1:15" ht="30" customHeight="1" x14ac:dyDescent="0.25">
      <c r="A7" t="s">
        <v>867</v>
      </c>
      <c r="B7" s="2">
        <v>102657</v>
      </c>
      <c r="C7" t="s">
        <v>938</v>
      </c>
      <c r="D7" s="1" t="s">
        <v>216</v>
      </c>
      <c r="E7" t="b">
        <v>0</v>
      </c>
      <c r="F7" s="5">
        <v>81000</v>
      </c>
      <c r="G7" t="s">
        <v>939</v>
      </c>
      <c r="H7" t="s">
        <v>940</v>
      </c>
      <c r="I7" s="1" t="s">
        <v>941</v>
      </c>
      <c r="J7" s="21" t="str">
        <f>VLOOKUP(Table8[[#This Row],[Company ID]],'[1]Coordinator Notes'!$B:$C,2,FALSE)</f>
        <v>The coi is delayed due to a holiday closure at the vendor's corporate office. A short extension was granted and acknowledged. Will re-check status by next week.</v>
      </c>
      <c r="K7" t="str">
        <f>VLOOKUP(Table8[[#This Row],[Company ID]],'[1]Coordinator Notes'!$B:$D,3,FALSE)</f>
        <v>Delayed</v>
      </c>
      <c r="L7" s="12" t="b">
        <f t="shared" si="0"/>
        <v>1</v>
      </c>
      <c r="M7" s="10" t="b">
        <v>1</v>
      </c>
      <c r="N7" s="10" t="b">
        <v>1</v>
      </c>
      <c r="O7" s="10" t="b">
        <v>1</v>
      </c>
    </row>
    <row r="8" spans="1:15" ht="30" customHeight="1" x14ac:dyDescent="0.25">
      <c r="A8" t="s">
        <v>867</v>
      </c>
      <c r="B8" s="2">
        <v>744039</v>
      </c>
      <c r="C8" t="s">
        <v>957</v>
      </c>
      <c r="D8" s="1" t="s">
        <v>221</v>
      </c>
      <c r="E8" t="b">
        <v>0</v>
      </c>
      <c r="F8" s="5">
        <v>5300</v>
      </c>
      <c r="G8" t="s">
        <v>958</v>
      </c>
      <c r="H8" t="s">
        <v>959</v>
      </c>
      <c r="I8" s="1" t="s">
        <v>960</v>
      </c>
      <c r="J8" s="21" t="str">
        <f>VLOOKUP(Table8[[#This Row],[Company ID]],'[1]Coordinator Notes'!$B:$C,2,FALSE)</f>
        <v>Good progress — the Spend authorization confirmed and filed. The coi and the w-9 sits in the vendor's internal approval queue, expected by Wednesday. No concerns yet.</v>
      </c>
      <c r="K8" t="str">
        <f>VLOOKUP(Table8[[#This Row],[Company ID]],'[1]Coordinator Notes'!$B:$D,3,FALSE)</f>
        <v>Received</v>
      </c>
      <c r="L8" s="12" t="str">
        <f t="shared" si="0"/>
        <v>RECEIVED</v>
      </c>
      <c r="M8" s="26" t="b">
        <v>0</v>
      </c>
      <c r="N8" s="26" t="b">
        <v>0</v>
      </c>
      <c r="O8" s="26" t="b">
        <v>1</v>
      </c>
    </row>
    <row r="9" spans="1:15" ht="30" customHeight="1" x14ac:dyDescent="0.25">
      <c r="A9" t="s">
        <v>867</v>
      </c>
      <c r="B9" s="2">
        <v>401193</v>
      </c>
      <c r="C9" t="s">
        <v>965</v>
      </c>
      <c r="D9" s="1" t="s">
        <v>432</v>
      </c>
      <c r="E9" t="b">
        <v>0</v>
      </c>
      <c r="F9" s="5">
        <v>191600</v>
      </c>
      <c r="G9" t="s">
        <v>966</v>
      </c>
      <c r="H9" t="s">
        <v>967</v>
      </c>
      <c r="I9" s="1" t="s">
        <v>968</v>
      </c>
      <c r="J9" s="21" t="str">
        <f>VLOOKUP(Table8[[#This Row],[Company ID]],'[1]Coordinator Notes'!$B:$C,2,FALSE)</f>
        <v>Contact uploaded the Spend authorization; the COI and the W-9 to follow once signed. Communication has been solid. Next check-in Monday.</v>
      </c>
      <c r="K9" t="str">
        <f>VLOOKUP(Table8[[#This Row],[Company ID]],'[1]Coordinator Notes'!$B:$D,3,FALSE)</f>
        <v>Received</v>
      </c>
      <c r="L9" s="12" t="str">
        <f t="shared" si="0"/>
        <v>RECEIVED</v>
      </c>
      <c r="M9" s="26" t="b">
        <v>0</v>
      </c>
      <c r="N9" s="26" t="b">
        <v>0</v>
      </c>
      <c r="O9" s="26" t="b">
        <v>1</v>
      </c>
    </row>
    <row r="10" spans="1:15" ht="30" customHeight="1" x14ac:dyDescent="0.25">
      <c r="A10" t="s">
        <v>867</v>
      </c>
      <c r="B10" s="2">
        <v>956436</v>
      </c>
      <c r="C10" t="s">
        <v>977</v>
      </c>
      <c r="D10" s="1" t="s">
        <v>437</v>
      </c>
      <c r="E10" t="b">
        <v>0</v>
      </c>
      <c r="F10" s="5">
        <v>18800</v>
      </c>
      <c r="G10" t="s">
        <v>978</v>
      </c>
      <c r="H10" t="s">
        <v>979</v>
      </c>
      <c r="I10" s="1" t="s">
        <v>980</v>
      </c>
      <c r="J10" s="21" t="str">
        <f>VLOOKUP(Table8[[#This Row],[Company ID]],'[1]Coordinator Notes'!$B:$C,2,FALSE)</f>
        <v>Contact delivered the Spend authorization ahead of the deadline, completing the packet. Coverage and W-9 details confirmed current. Cleared for daily operations support.</v>
      </c>
      <c r="K10" t="str">
        <f>VLOOKUP(Table8[[#This Row],[Company ID]],'[1]Coordinator Notes'!$B:$D,3,FALSE)</f>
        <v>Completion</v>
      </c>
      <c r="L10" s="12" t="b">
        <f t="shared" si="0"/>
        <v>1</v>
      </c>
      <c r="M10" s="10" t="b">
        <v>1</v>
      </c>
      <c r="N10" s="10" t="b">
        <v>1</v>
      </c>
      <c r="O10" s="10" t="b">
        <v>1</v>
      </c>
    </row>
    <row r="11" spans="1:15" ht="30" customHeight="1" x14ac:dyDescent="0.25">
      <c r="A11" t="s">
        <v>867</v>
      </c>
      <c r="B11" s="2">
        <v>202814</v>
      </c>
      <c r="C11" t="s">
        <v>1000</v>
      </c>
      <c r="D11" s="1" t="s">
        <v>441</v>
      </c>
      <c r="E11" t="b">
        <v>0</v>
      </c>
      <c r="F11" s="5">
        <v>1400</v>
      </c>
      <c r="G11" t="s">
        <v>1001</v>
      </c>
      <c r="H11" t="s">
        <v>1002</v>
      </c>
      <c r="I11" s="1" t="s">
        <v>1003</v>
      </c>
      <c r="J11" s="21" t="str">
        <f>VLOOKUP(Table8[[#This Row],[Company ID]],'[1]Coordinator Notes'!$B:$C,2,FALSE)</f>
        <v>Everything is in — the Spend authorization arrived this Wednesday and matched our records. Contact was proactive throughout. Onboarding complete.</v>
      </c>
      <c r="K11" t="str">
        <f>VLOOKUP(Table8[[#This Row],[Company ID]],'[1]Coordinator Notes'!$B:$D,3,FALSE)</f>
        <v>Completion</v>
      </c>
      <c r="L11" s="12" t="b">
        <f t="shared" si="0"/>
        <v>1</v>
      </c>
      <c r="M11" s="10" t="b">
        <v>1</v>
      </c>
      <c r="N11" s="10" t="b">
        <v>1</v>
      </c>
      <c r="O11" s="10" t="b">
        <v>1</v>
      </c>
    </row>
    <row r="12" spans="1:15" ht="30" customHeight="1" x14ac:dyDescent="0.25">
      <c r="A12" t="s">
        <v>867</v>
      </c>
      <c r="B12" s="2">
        <v>818461</v>
      </c>
      <c r="C12" t="s">
        <v>1027</v>
      </c>
      <c r="D12" s="1" t="s">
        <v>603</v>
      </c>
      <c r="E12" t="b">
        <v>0</v>
      </c>
      <c r="F12" s="5">
        <v>20800</v>
      </c>
      <c r="G12" t="s">
        <v>1028</v>
      </c>
      <c r="H12" t="s">
        <v>1029</v>
      </c>
      <c r="I12" s="1" t="s">
        <v>1030</v>
      </c>
      <c r="J12" s="21" t="str">
        <f>VLOOKUP(Table8[[#This Row],[Company ID]],'[1]Coordinator Notes'!$B:$C,2,FALSE)</f>
        <v>Progressing well: the Spend authorization accepted and logged. Outstanding item is the COI and the W-9, which the contact expects by Wednesday. Steady communication.</v>
      </c>
      <c r="K12" t="str">
        <f>VLOOKUP(Table8[[#This Row],[Company ID]],'[1]Coordinator Notes'!$B:$D,3,FALSE)</f>
        <v>Received</v>
      </c>
      <c r="L12" s="12" t="str">
        <f t="shared" si="0"/>
        <v>RECEIVED</v>
      </c>
      <c r="M12" s="26" t="b">
        <v>0</v>
      </c>
      <c r="N12" s="26" t="b">
        <v>0</v>
      </c>
      <c r="O12" s="26" t="b">
        <v>1</v>
      </c>
    </row>
    <row r="13" spans="1:15" ht="30" customHeight="1" x14ac:dyDescent="0.25">
      <c r="A13" t="s">
        <v>867</v>
      </c>
      <c r="B13" s="2">
        <v>944246</v>
      </c>
      <c r="C13" t="s">
        <v>911</v>
      </c>
      <c r="D13" s="1" t="s">
        <v>211</v>
      </c>
      <c r="E13" t="b">
        <v>0</v>
      </c>
      <c r="F13" s="5">
        <v>5600</v>
      </c>
      <c r="G13" t="s">
        <v>869</v>
      </c>
      <c r="H13" t="s">
        <v>912</v>
      </c>
      <c r="I13" s="1" t="s">
        <v>913</v>
      </c>
      <c r="J13" s="21" t="str">
        <f>VLOOKUP(Table8[[#This Row],[Company ID]],'[1]Coordinator Notes'!$B:$C,2,FALSE)</f>
        <v>The spend authorization received and verified; the W-9 and the COI still outstanding. Contact confirmed the remainder will be submitted by Friday. Following up then.</v>
      </c>
      <c r="K13" t="str">
        <f>VLOOKUP(Table8[[#This Row],[Company ID]],'[1]Coordinator Notes'!$B:$D,3,FALSE)</f>
        <v>Received</v>
      </c>
      <c r="L13" s="12" t="str">
        <f t="shared" si="0"/>
        <v>RECEIVED</v>
      </c>
      <c r="M13" s="26" t="b">
        <v>0</v>
      </c>
      <c r="N13" s="26" t="b">
        <v>0</v>
      </c>
      <c r="O13" s="26" t="b">
        <v>1</v>
      </c>
    </row>
    <row r="14" spans="1:15" ht="30" customHeight="1" x14ac:dyDescent="0.25">
      <c r="A14" t="s">
        <v>867</v>
      </c>
      <c r="B14" s="2">
        <v>845393</v>
      </c>
      <c r="C14" t="s">
        <v>1035</v>
      </c>
      <c r="D14" s="1" t="s">
        <v>446</v>
      </c>
      <c r="E14" t="b">
        <v>0</v>
      </c>
      <c r="F14" s="5">
        <v>42300</v>
      </c>
      <c r="G14" t="s">
        <v>1036</v>
      </c>
      <c r="H14" t="s">
        <v>1037</v>
      </c>
      <c r="I14" s="1" t="s">
        <v>1038</v>
      </c>
      <c r="J14" s="21" t="str">
        <f>VLOOKUP(Table8[[#This Row],[Company ID]],'[1]Coordinator Notes'!$B:$C,2,FALSE)</f>
        <v>Contact uploaded the W-9 and the Spend authorization; the COI to follow once signed. Communication has been solid. Next check-in Wednesday.</v>
      </c>
      <c r="K14" t="str">
        <f>VLOOKUP(Table8[[#This Row],[Company ID]],'[1]Coordinator Notes'!$B:$D,3,FALSE)</f>
        <v>Received</v>
      </c>
      <c r="L14" s="12" t="str">
        <f t="shared" si="0"/>
        <v>RECEIVED</v>
      </c>
      <c r="M14" s="26" t="b">
        <v>0</v>
      </c>
      <c r="N14" s="26" t="b">
        <v>1</v>
      </c>
      <c r="O14" s="26" t="b">
        <v>1</v>
      </c>
    </row>
    <row r="15" spans="1:15" ht="30" customHeight="1" x14ac:dyDescent="0.25">
      <c r="A15" t="s">
        <v>867</v>
      </c>
      <c r="B15" s="2">
        <v>481201</v>
      </c>
      <c r="C15" t="s">
        <v>1059</v>
      </c>
      <c r="D15" s="1" t="s">
        <v>647</v>
      </c>
      <c r="E15" t="b">
        <v>0</v>
      </c>
      <c r="F15" s="5">
        <v>2000</v>
      </c>
      <c r="G15" t="s">
        <v>1060</v>
      </c>
      <c r="H15" t="s">
        <v>1061</v>
      </c>
      <c r="I15" s="1" t="s">
        <v>1062</v>
      </c>
      <c r="J15" s="21" t="str">
        <f>VLOOKUP(Table8[[#This Row],[Company ID]],'[1]Coordinator Notes'!$B:$C,2,FALSE)</f>
        <v>Received the Spend authorization through the portal today; the COI and the W-9 still pending. Contact acknowledged the request and is gathering the paperwork. Checking back Thursday.</v>
      </c>
      <c r="K15" t="str">
        <f>VLOOKUP(Table8[[#This Row],[Company ID]],'[1]Coordinator Notes'!$B:$D,3,FALSE)</f>
        <v>Received</v>
      </c>
      <c r="L15" s="12" t="str">
        <f t="shared" si="0"/>
        <v>RECEIVED</v>
      </c>
      <c r="M15" s="26" t="b">
        <v>0</v>
      </c>
      <c r="N15" s="26" t="b">
        <v>0</v>
      </c>
      <c r="O15" s="26" t="b">
        <v>1</v>
      </c>
    </row>
    <row r="16" spans="1:15" ht="30" customHeight="1" x14ac:dyDescent="0.25">
      <c r="A16" t="s">
        <v>867</v>
      </c>
      <c r="B16" s="2">
        <v>714169</v>
      </c>
      <c r="C16" t="s">
        <v>900</v>
      </c>
      <c r="D16" s="20" t="s">
        <v>206</v>
      </c>
      <c r="E16" t="b">
        <v>0</v>
      </c>
      <c r="F16" s="5">
        <v>100300</v>
      </c>
      <c r="G16" t="s">
        <v>901</v>
      </c>
      <c r="H16" t="s">
        <v>902</v>
      </c>
      <c r="I16" s="1" t="s">
        <v>903</v>
      </c>
      <c r="J16" s="21" t="str">
        <f>VLOOKUP(Table8[[#This Row],[Company ID]],'[1]Coordinator Notes'!$B:$C,2,FALSE)</f>
        <v>The coi cleared compliance review. The w-9 and the spend authorization was flagged as still needed and re-requested. Contact responsive and engaged.</v>
      </c>
      <c r="K16" t="str">
        <f>VLOOKUP(Table8[[#This Row],[Company ID]],'[1]Coordinator Notes'!$B:$D,3,FALSE)</f>
        <v>Received</v>
      </c>
      <c r="L16" s="12" t="str">
        <f t="shared" si="0"/>
        <v>RECEIVED</v>
      </c>
      <c r="M16" s="26" t="b">
        <v>1</v>
      </c>
      <c r="N16" s="26" t="b">
        <v>0</v>
      </c>
      <c r="O16" s="26" t="b">
        <v>0</v>
      </c>
    </row>
    <row r="17" spans="1:15" ht="30" customHeight="1" x14ac:dyDescent="0.25">
      <c r="A17" t="s">
        <v>867</v>
      </c>
      <c r="B17" s="2">
        <v>886585</v>
      </c>
      <c r="C17" t="s">
        <v>942</v>
      </c>
      <c r="D17" s="1" t="s">
        <v>216</v>
      </c>
      <c r="E17" t="b">
        <v>0</v>
      </c>
      <c r="F17" s="5">
        <v>40700</v>
      </c>
      <c r="G17" t="s">
        <v>943</v>
      </c>
      <c r="H17" t="s">
        <v>944</v>
      </c>
      <c r="I17" s="1" t="s">
        <v>945</v>
      </c>
      <c r="J17" s="21" t="str">
        <f>VLOOKUP(Table8[[#This Row],[Company ID]],'[1]Coordinator Notes'!$B:$C,2,FALSE)</f>
        <v>First batch received: the COI and the Spend authorization logged and approved. Still awaiting the W-9. Contact committed to finishing by Monday.</v>
      </c>
      <c r="K17" t="str">
        <f>VLOOKUP(Table8[[#This Row],[Company ID]],'[1]Coordinator Notes'!$B:$D,3,FALSE)</f>
        <v>Received</v>
      </c>
      <c r="L17" s="12" t="str">
        <f t="shared" si="0"/>
        <v>RECEIVED</v>
      </c>
      <c r="M17" s="26" t="b">
        <v>1</v>
      </c>
      <c r="N17" s="26" t="b">
        <v>0</v>
      </c>
      <c r="O17" s="26" t="b">
        <v>1</v>
      </c>
    </row>
    <row r="18" spans="1:15" ht="30" customHeight="1" x14ac:dyDescent="0.25">
      <c r="A18" t="s">
        <v>867</v>
      </c>
      <c r="B18" s="2">
        <v>602467</v>
      </c>
      <c r="C18" t="s">
        <v>1004</v>
      </c>
      <c r="D18" s="1" t="s">
        <v>441</v>
      </c>
      <c r="E18" t="b">
        <v>0</v>
      </c>
      <c r="F18" s="5">
        <v>7500</v>
      </c>
      <c r="G18" t="s">
        <v>1005</v>
      </c>
      <c r="H18" t="s">
        <v>1006</v>
      </c>
      <c r="I18" s="1" t="s">
        <v>1007</v>
      </c>
      <c r="J18" s="21" t="str">
        <f>VLOOKUP(Table8[[#This Row],[Company ID]],'[1]Coordinator Notes'!$B:$C,2,FALSE)</f>
        <v>Good progress — the W-9 confirmed and filed. The coi and the spend authorization sits in the vendor's internal approval queue, expected by Monday. No concerns yet.</v>
      </c>
      <c r="K18" t="str">
        <f>VLOOKUP(Table8[[#This Row],[Company ID]],'[1]Coordinator Notes'!$B:$D,3,FALSE)</f>
        <v>Received</v>
      </c>
      <c r="L18" s="12" t="str">
        <f t="shared" si="0"/>
        <v>RECEIVED</v>
      </c>
      <c r="M18" s="26" t="b">
        <v>0</v>
      </c>
      <c r="N18" s="26" t="b">
        <v>1</v>
      </c>
      <c r="O18" s="26" t="b">
        <v>0</v>
      </c>
    </row>
    <row r="19" spans="1:15" ht="30" customHeight="1" x14ac:dyDescent="0.25">
      <c r="A19" t="s">
        <v>867</v>
      </c>
      <c r="B19" s="2">
        <v>521611</v>
      </c>
      <c r="C19" t="s">
        <v>884</v>
      </c>
      <c r="D19" s="1" t="s">
        <v>160</v>
      </c>
      <c r="E19" t="b">
        <v>1</v>
      </c>
      <c r="F19" s="5">
        <v>20200</v>
      </c>
      <c r="G19" t="s">
        <v>885</v>
      </c>
      <c r="H19" t="s">
        <v>886</v>
      </c>
      <c r="I19" s="1" t="s">
        <v>887</v>
      </c>
      <c r="J19" s="21" t="str">
        <f>VLOOKUP(Table8[[#This Row],[Company ID]],'[1]Coordinator Notes'!$B:$C,2,FALSE)</f>
        <v>Good progress — the Spend authorization confirmed and filed. The w-9 and the coi sits in the vendor's internal approval queue, expected by Thursday. No concerns yet.</v>
      </c>
      <c r="K19" t="str">
        <f>VLOOKUP(Table8[[#This Row],[Company ID]],'[1]Coordinator Notes'!$B:$D,3,FALSE)</f>
        <v>Received</v>
      </c>
      <c r="L19" s="12" t="str">
        <f t="shared" si="0"/>
        <v>RECEIVED</v>
      </c>
      <c r="M19" s="26" t="b">
        <v>0</v>
      </c>
      <c r="N19" s="26" t="b">
        <v>0</v>
      </c>
      <c r="O19" s="26" t="b">
        <v>1</v>
      </c>
    </row>
    <row r="20" spans="1:15" ht="30" customHeight="1" x14ac:dyDescent="0.25">
      <c r="A20" t="s">
        <v>867</v>
      </c>
      <c r="B20" s="2">
        <v>134717</v>
      </c>
      <c r="C20" t="s">
        <v>1043</v>
      </c>
      <c r="D20" s="1" t="s">
        <v>622</v>
      </c>
      <c r="E20" t="b">
        <v>0</v>
      </c>
      <c r="F20" s="5">
        <v>104100</v>
      </c>
      <c r="G20" t="s">
        <v>1044</v>
      </c>
      <c r="H20" t="s">
        <v>1045</v>
      </c>
      <c r="I20" s="1" t="s">
        <v>1046</v>
      </c>
      <c r="J20" s="21" t="str">
        <f>VLOOKUP(Table8[[#This Row],[Company ID]],'[1]Coordinator Notes'!$B:$C,2,FALSE)</f>
        <v>All three required documents were approved on first pass, the Spend authorization included. The Certificate of Insurance names the arena as additional insured, as required. Vendor is good to go.</v>
      </c>
      <c r="K20" t="str">
        <f>VLOOKUP(Table8[[#This Row],[Company ID]],'[1]Coordinator Notes'!$B:$D,3,FALSE)</f>
        <v>Completion</v>
      </c>
      <c r="L20" s="12" t="b">
        <f t="shared" si="0"/>
        <v>1</v>
      </c>
      <c r="M20" s="10" t="b">
        <v>1</v>
      </c>
      <c r="N20" s="10" t="b">
        <v>1</v>
      </c>
      <c r="O20" s="10" t="b">
        <v>1</v>
      </c>
    </row>
    <row r="21" spans="1:15" ht="30" customHeight="1" x14ac:dyDescent="0.25">
      <c r="A21" t="s">
        <v>867</v>
      </c>
      <c r="B21" s="2">
        <v>826293</v>
      </c>
      <c r="C21" t="s">
        <v>985</v>
      </c>
      <c r="D21" s="1" t="s">
        <v>570</v>
      </c>
      <c r="E21" t="b">
        <v>0</v>
      </c>
      <c r="F21" s="5">
        <v>78500</v>
      </c>
      <c r="G21" t="s">
        <v>986</v>
      </c>
      <c r="H21" t="s">
        <v>987</v>
      </c>
      <c r="I21" s="1" t="s">
        <v>988</v>
      </c>
      <c r="J21" s="21" t="str">
        <f>VLOOKUP(Table8[[#This Row],[Company ID]],'[1]Coordinator Notes'!$B:$C,2,FALSE)</f>
        <v>First batch received: the Spend authorization logged and approved. Still awaiting the COI and the W-9. Contact committed to finishing by Monday.</v>
      </c>
      <c r="K21" t="str">
        <f>VLOOKUP(Table8[[#This Row],[Company ID]],'[1]Coordinator Notes'!$B:$D,3,FALSE)</f>
        <v>Received</v>
      </c>
      <c r="L21" s="12" t="str">
        <f t="shared" si="0"/>
        <v>RECEIVED</v>
      </c>
      <c r="M21" s="26" t="b">
        <v>0</v>
      </c>
      <c r="N21" s="26" t="b">
        <v>0</v>
      </c>
      <c r="O21" s="26" t="b">
        <v>1</v>
      </c>
    </row>
    <row r="22" spans="1:15" ht="30" customHeight="1" x14ac:dyDescent="0.25">
      <c r="A22" t="s">
        <v>867</v>
      </c>
      <c r="B22" s="2">
        <v>609156</v>
      </c>
      <c r="C22" t="s">
        <v>1008</v>
      </c>
      <c r="D22" s="1" t="s">
        <v>441</v>
      </c>
      <c r="E22" t="b">
        <v>0</v>
      </c>
      <c r="F22" s="5">
        <v>17700</v>
      </c>
      <c r="G22" t="s">
        <v>212</v>
      </c>
      <c r="H22" t="s">
        <v>1009</v>
      </c>
      <c r="I22" s="1" t="s">
        <v>1010</v>
      </c>
      <c r="J22" s="21" t="str">
        <f>VLOOKUP(Table8[[#This Row],[Company ID]],'[1]Coordinator Notes'!$B:$C,2,FALSE)</f>
        <v>Received the W-9 through the portal today; the Spend authorization and the COI still pending. Contact acknowledged the request and is gathering the paperwork. Checking back Thursday.</v>
      </c>
      <c r="K22" t="str">
        <f>VLOOKUP(Table8[[#This Row],[Company ID]],'[1]Coordinator Notes'!$B:$D,3,FALSE)</f>
        <v>Received</v>
      </c>
      <c r="L22" s="12" t="str">
        <f t="shared" si="0"/>
        <v>RECEIVED</v>
      </c>
      <c r="M22" s="26" t="b">
        <v>0</v>
      </c>
      <c r="N22" s="26" t="b">
        <v>1</v>
      </c>
      <c r="O22" s="26" t="b">
        <v>0</v>
      </c>
    </row>
    <row r="23" spans="1:15" ht="30" customHeight="1" x14ac:dyDescent="0.25">
      <c r="A23" t="s">
        <v>867</v>
      </c>
      <c r="B23" s="2">
        <v>903946</v>
      </c>
      <c r="C23" t="s">
        <v>989</v>
      </c>
      <c r="D23" s="1" t="s">
        <v>570</v>
      </c>
      <c r="E23" t="b">
        <v>0</v>
      </c>
      <c r="F23" s="5">
        <v>68200</v>
      </c>
      <c r="G23" t="s">
        <v>990</v>
      </c>
      <c r="H23" t="s">
        <v>991</v>
      </c>
      <c r="I23" s="1" t="s">
        <v>992</v>
      </c>
      <c r="J23" s="21" t="str">
        <f>VLOOKUP(Table8[[#This Row],[Company ID]],'[1]Coordinator Notes'!$B:$C,2,FALSE)</f>
        <v>The coi held up because of a legal entity name change working through their system. Contact is actively working it and apologized for the lag. New target is Friday.</v>
      </c>
      <c r="K23" t="str">
        <f>VLOOKUP(Table8[[#This Row],[Company ID]],'[1]Coordinator Notes'!$B:$D,3,FALSE)</f>
        <v>Delayed</v>
      </c>
      <c r="L23" s="12" t="b">
        <f t="shared" si="0"/>
        <v>0</v>
      </c>
      <c r="M23" s="10" t="b">
        <v>0</v>
      </c>
      <c r="N23" s="10" t="b">
        <v>0</v>
      </c>
      <c r="O23" s="10" t="b">
        <v>0</v>
      </c>
    </row>
    <row r="24" spans="1:15" ht="30" customHeight="1" x14ac:dyDescent="0.25">
      <c r="A24" t="s">
        <v>867</v>
      </c>
      <c r="B24" s="2">
        <v>621307</v>
      </c>
      <c r="C24" t="s">
        <v>1051</v>
      </c>
      <c r="D24" s="1" t="s">
        <v>230</v>
      </c>
      <c r="E24" t="b">
        <v>0</v>
      </c>
      <c r="F24" s="5">
        <v>61500</v>
      </c>
      <c r="G24" t="s">
        <v>1052</v>
      </c>
      <c r="H24" t="s">
        <v>1053</v>
      </c>
      <c r="I24" s="1" t="s">
        <v>1054</v>
      </c>
      <c r="J24" s="21" t="str">
        <f>VLOOKUP(Table8[[#This Row],[Company ID]],'[1]Coordinator Notes'!$B:$C,2,FALSE)</f>
        <v>The coi received and verified; the W-9 and the Spend authorization still outstanding. Contact confirmed the remainder will be submitted by Tuesday. Following up then.</v>
      </c>
      <c r="K24" t="str">
        <f>VLOOKUP(Table8[[#This Row],[Company ID]],'[1]Coordinator Notes'!$B:$D,3,FALSE)</f>
        <v>Received</v>
      </c>
      <c r="L24" s="12" t="str">
        <f t="shared" si="0"/>
        <v>RECEIVED</v>
      </c>
      <c r="M24" s="26" t="b">
        <v>1</v>
      </c>
      <c r="N24" s="26" t="b">
        <v>0</v>
      </c>
      <c r="O24" s="26" t="b">
        <v>0</v>
      </c>
    </row>
    <row r="25" spans="1:15" ht="30" customHeight="1" x14ac:dyDescent="0.25">
      <c r="A25" t="s">
        <v>867</v>
      </c>
      <c r="B25" s="2">
        <v>947206</v>
      </c>
      <c r="C25" t="s">
        <v>981</v>
      </c>
      <c r="D25" s="1" t="s">
        <v>437</v>
      </c>
      <c r="E25" t="b">
        <v>0</v>
      </c>
      <c r="F25" s="5">
        <v>5300</v>
      </c>
      <c r="G25" t="s">
        <v>982</v>
      </c>
      <c r="H25" t="s">
        <v>983</v>
      </c>
      <c r="I25" s="1" t="s">
        <v>984</v>
      </c>
      <c r="J25" s="21" t="str">
        <f>VLOOKUP(Table8[[#This Row],[Company ID]],'[1]Coordinator Notes'!$B:$C,2,FALSE)</f>
        <v>The coi cleared compliance review. The w-9 and the spend authorization was flagged as still needed and re-requested. Contact responsive and engaged.</v>
      </c>
      <c r="K25" t="str">
        <f>VLOOKUP(Table8[[#This Row],[Company ID]],'[1]Coordinator Notes'!$B:$D,3,FALSE)</f>
        <v>Received</v>
      </c>
      <c r="L25" s="12" t="str">
        <f t="shared" si="0"/>
        <v>RECEIVED</v>
      </c>
      <c r="M25" s="26" t="b">
        <v>1</v>
      </c>
      <c r="N25" s="26" t="b">
        <v>0</v>
      </c>
      <c r="O25" s="26" t="b">
        <v>0</v>
      </c>
    </row>
    <row r="26" spans="1:15" ht="30" customHeight="1" x14ac:dyDescent="0.25">
      <c r="A26" t="s">
        <v>867</v>
      </c>
      <c r="B26" s="2">
        <v>555322</v>
      </c>
      <c r="C26" t="s">
        <v>914</v>
      </c>
      <c r="D26" s="1" t="s">
        <v>211</v>
      </c>
      <c r="E26" t="b">
        <v>0</v>
      </c>
      <c r="F26" s="5">
        <v>77900</v>
      </c>
      <c r="G26" t="s">
        <v>915</v>
      </c>
      <c r="H26" t="s">
        <v>916</v>
      </c>
      <c r="I26" s="1" t="s">
        <v>917</v>
      </c>
      <c r="J26" s="21" t="str">
        <f>VLOOKUP(Table8[[#This Row],[Company ID]],'[1]Coordinator Notes'!$B:$C,2,FALSE)</f>
        <v>Progressing well: the COI and the Spend authorization accepted and logged. Outstanding item is the W-9, which the contact expects by next week. Steady communication.</v>
      </c>
      <c r="K26" t="str">
        <f>VLOOKUP(Table8[[#This Row],[Company ID]],'[1]Coordinator Notes'!$B:$D,3,FALSE)</f>
        <v>Received</v>
      </c>
      <c r="L26" s="12" t="str">
        <f t="shared" si="0"/>
        <v>RECEIVED</v>
      </c>
      <c r="M26" s="26" t="b">
        <v>1</v>
      </c>
      <c r="N26" s="26" t="b">
        <v>0</v>
      </c>
      <c r="O26" s="26" t="b">
        <v>1</v>
      </c>
    </row>
    <row r="27" spans="1:15" ht="30" customHeight="1" x14ac:dyDescent="0.25">
      <c r="A27" t="s">
        <v>867</v>
      </c>
      <c r="B27" s="2">
        <v>971789</v>
      </c>
      <c r="C27" t="s">
        <v>1031</v>
      </c>
      <c r="D27" s="1" t="s">
        <v>603</v>
      </c>
      <c r="E27" t="b">
        <v>0</v>
      </c>
      <c r="F27" s="5">
        <v>37900</v>
      </c>
      <c r="G27" t="s">
        <v>1032</v>
      </c>
      <c r="H27" t="s">
        <v>1033</v>
      </c>
      <c r="I27" s="1" t="s">
        <v>1034</v>
      </c>
      <c r="J27" s="21" t="str">
        <f>VLOOKUP(Table8[[#This Row],[Company ID]],'[1]Coordinator Notes'!$B:$C,2,FALSE)</f>
        <v>The coi and the w-9 cleared compliance review. The spend authorization was flagged as still needed and re-requested. Contact responsive and engaged.</v>
      </c>
      <c r="K27" t="str">
        <f>VLOOKUP(Table8[[#This Row],[Company ID]],'[1]Coordinator Notes'!$B:$D,3,FALSE)</f>
        <v>Received</v>
      </c>
      <c r="L27" s="12" t="str">
        <f t="shared" si="0"/>
        <v>RECEIVED</v>
      </c>
      <c r="M27" s="26" t="b">
        <v>1</v>
      </c>
      <c r="N27" s="26" t="b">
        <v>1</v>
      </c>
      <c r="O27" s="26" t="b">
        <v>0</v>
      </c>
    </row>
    <row r="28" spans="1:15" ht="30" customHeight="1" x14ac:dyDescent="0.25">
      <c r="A28" t="s">
        <v>867</v>
      </c>
      <c r="B28" s="2">
        <v>404159</v>
      </c>
      <c r="C28" t="s">
        <v>872</v>
      </c>
      <c r="D28" s="1" t="s">
        <v>118</v>
      </c>
      <c r="E28" t="b">
        <v>1</v>
      </c>
      <c r="F28" s="5">
        <v>173900</v>
      </c>
      <c r="G28" t="s">
        <v>873</v>
      </c>
      <c r="H28" t="s">
        <v>874</v>
      </c>
      <c r="I28" s="1" t="s">
        <v>875</v>
      </c>
      <c r="J28" s="21" t="str">
        <f>VLOOKUP(Table8[[#This Row],[Company ID]],'[1]Coordinator Notes'!$B:$C,2,FALSE)</f>
        <v>Full document set received and reconciled against the master vendor record; the COI needed a quick correction, now resolved. No further discrepancies found. Onboarding officially complete.</v>
      </c>
      <c r="K28" t="str">
        <f>VLOOKUP(Table8[[#This Row],[Company ID]],'[1]Coordinator Notes'!$B:$D,3,FALSE)</f>
        <v>Completion</v>
      </c>
      <c r="L28" s="12" t="b">
        <f t="shared" si="0"/>
        <v>1</v>
      </c>
      <c r="M28" s="10" t="b">
        <v>1</v>
      </c>
      <c r="N28" s="10" t="b">
        <v>1</v>
      </c>
      <c r="O28" s="10" t="b">
        <v>1</v>
      </c>
    </row>
    <row r="29" spans="1:15" ht="30" customHeight="1" x14ac:dyDescent="0.25">
      <c r="A29" t="s">
        <v>867</v>
      </c>
      <c r="B29" s="2">
        <v>203152</v>
      </c>
      <c r="C29" t="s">
        <v>880</v>
      </c>
      <c r="D29" s="1" t="s">
        <v>143</v>
      </c>
      <c r="E29" t="b">
        <v>1</v>
      </c>
      <c r="F29" s="5">
        <v>336300</v>
      </c>
      <c r="G29" t="s">
        <v>881</v>
      </c>
      <c r="H29" t="s">
        <v>882</v>
      </c>
      <c r="I29" s="1" t="s">
        <v>883</v>
      </c>
      <c r="J29" s="21" t="str">
        <f>VLOOKUP(Table8[[#This Row],[Company ID]],'[1]Coordinator Notes'!$B:$C,2,FALSE)</f>
        <v>Partial packet in — the COI and the Spend authorization on file and within requirements. Awaiting the W-9 from the vendor's team. Reminder set for next week.</v>
      </c>
      <c r="K29" t="str">
        <f>VLOOKUP(Table8[[#This Row],[Company ID]],'[1]Coordinator Notes'!$B:$D,3,FALSE)</f>
        <v>Received</v>
      </c>
      <c r="L29" s="12" t="str">
        <f t="shared" si="0"/>
        <v>RECEIVED</v>
      </c>
      <c r="M29" s="26" t="b">
        <v>1</v>
      </c>
      <c r="N29" s="26" t="b">
        <v>0</v>
      </c>
      <c r="O29" s="26" t="b">
        <v>1</v>
      </c>
    </row>
    <row r="30" spans="1:15" ht="30" customHeight="1" x14ac:dyDescent="0.25">
      <c r="A30" t="s">
        <v>867</v>
      </c>
      <c r="B30" s="2">
        <v>822818</v>
      </c>
      <c r="C30" t="s">
        <v>904</v>
      </c>
      <c r="D30" s="20" t="s">
        <v>206</v>
      </c>
      <c r="E30" t="b">
        <v>0</v>
      </c>
      <c r="F30" s="5">
        <v>81100</v>
      </c>
      <c r="G30" t="s">
        <v>905</v>
      </c>
      <c r="H30" t="s">
        <v>906</v>
      </c>
      <c r="I30" s="1" t="s">
        <v>907</v>
      </c>
      <c r="J30" s="21" t="str">
        <f>VLOOKUP(Table8[[#This Row],[Company ID]],'[1]Coordinator Notes'!$B:$C,2,FALSE)</f>
        <v>Good progress — the COI and the W-9 confirmed and filed. The spend authorization sits in the vendor's internal approval queue, expected by Wednesday. No concerns yet.</v>
      </c>
      <c r="K30" t="str">
        <f>VLOOKUP(Table8[[#This Row],[Company ID]],'[1]Coordinator Notes'!$B:$D,3,FALSE)</f>
        <v>Received</v>
      </c>
      <c r="L30" s="12" t="str">
        <f t="shared" si="0"/>
        <v>RECEIVED</v>
      </c>
      <c r="M30" s="26" t="b">
        <v>1</v>
      </c>
      <c r="N30" s="26" t="b">
        <v>1</v>
      </c>
      <c r="O30" s="26" t="b">
        <v>0</v>
      </c>
    </row>
    <row r="31" spans="1:15" ht="30" customHeight="1" x14ac:dyDescent="0.25">
      <c r="A31" t="s">
        <v>867</v>
      </c>
      <c r="B31" s="2">
        <v>640198</v>
      </c>
      <c r="C31" t="s">
        <v>1047</v>
      </c>
      <c r="D31" s="1" t="s">
        <v>622</v>
      </c>
      <c r="E31" t="b">
        <v>0</v>
      </c>
      <c r="F31" s="5">
        <v>87100</v>
      </c>
      <c r="G31" t="s">
        <v>1048</v>
      </c>
      <c r="H31" t="s">
        <v>1049</v>
      </c>
      <c r="I31" s="1" t="s">
        <v>1050</v>
      </c>
      <c r="J31" s="21" t="str">
        <f>VLOOKUP(Table8[[#This Row],[Company ID]],'[1]Coordinator Notes'!$B:$C,2,FALSE)</f>
        <v>Partial packet in — the W-9 and the Spend authorization on file and within requirements. Awaiting the COI from the vendor's team. Reminder set for next week.</v>
      </c>
      <c r="K31" t="str">
        <f>VLOOKUP(Table8[[#This Row],[Company ID]],'[1]Coordinator Notes'!$B:$D,3,FALSE)</f>
        <v>Received</v>
      </c>
      <c r="L31" s="12" t="str">
        <f t="shared" si="0"/>
        <v>RECEIVED</v>
      </c>
      <c r="M31" s="26" t="b">
        <v>0</v>
      </c>
      <c r="N31" s="26" t="b">
        <v>1</v>
      </c>
      <c r="O31" s="26" t="b">
        <v>1</v>
      </c>
    </row>
    <row r="32" spans="1:15" ht="30" customHeight="1" x14ac:dyDescent="0.25">
      <c r="A32" t="s">
        <v>867</v>
      </c>
      <c r="B32" s="2">
        <v>167418</v>
      </c>
      <c r="C32" t="s">
        <v>1063</v>
      </c>
      <c r="D32" s="1" t="s">
        <v>647</v>
      </c>
      <c r="E32" t="b">
        <v>0</v>
      </c>
      <c r="F32" s="5">
        <v>25600</v>
      </c>
      <c r="G32" t="s">
        <v>1064</v>
      </c>
      <c r="H32" t="s">
        <v>1065</v>
      </c>
      <c r="I32" s="1" t="s">
        <v>1066</v>
      </c>
      <c r="J32" s="21" t="str">
        <f>VLOOKUP(Table8[[#This Row],[Company ID]],'[1]Coordinator Notes'!$B:$C,2,FALSE)</f>
        <v>First batch received: the COI and the Spend authorization logged and approved. Still awaiting the W-9. Contact committed to finishing by Thursday.</v>
      </c>
      <c r="K32" t="str">
        <f>VLOOKUP(Table8[[#This Row],[Company ID]],'[1]Coordinator Notes'!$B:$D,3,FALSE)</f>
        <v>Received</v>
      </c>
      <c r="L32" s="12" t="str">
        <f t="shared" si="0"/>
        <v>RECEIVED</v>
      </c>
      <c r="M32" s="26" t="b">
        <v>1</v>
      </c>
      <c r="N32" s="26" t="b">
        <v>0</v>
      </c>
      <c r="O32" s="26" t="b">
        <v>1</v>
      </c>
    </row>
    <row r="33" spans="1:15" ht="30" customHeight="1" x14ac:dyDescent="0.25">
      <c r="A33" t="s">
        <v>867</v>
      </c>
      <c r="B33" s="2">
        <v>196645</v>
      </c>
      <c r="C33" t="s">
        <v>1039</v>
      </c>
      <c r="D33" s="1" t="s">
        <v>446</v>
      </c>
      <c r="E33" t="b">
        <v>0</v>
      </c>
      <c r="F33" s="5">
        <v>33300</v>
      </c>
      <c r="G33" t="s">
        <v>1040</v>
      </c>
      <c r="H33" t="s">
        <v>1041</v>
      </c>
      <c r="I33" s="1" t="s">
        <v>1042</v>
      </c>
      <c r="J33" s="21" t="str">
        <f>VLOOKUP(Table8[[#This Row],[Company ID]],'[1]Coordinator Notes'!$B:$C,2,FALSE)</f>
        <v>Received the COI and the Spend authorization through the portal today; the W-9 still pending. Contact acknowledged the request and is gathering the paperwork. Checking back Wednesday.</v>
      </c>
      <c r="K33" t="str">
        <f>VLOOKUP(Table8[[#This Row],[Company ID]],'[1]Coordinator Notes'!$B:$D,3,FALSE)</f>
        <v>Received</v>
      </c>
      <c r="L33" s="12" t="str">
        <f t="shared" si="0"/>
        <v>RECEIVED</v>
      </c>
      <c r="M33" s="26" t="b">
        <v>1</v>
      </c>
      <c r="N33" s="26" t="b">
        <v>0</v>
      </c>
      <c r="O33" s="26" t="b">
        <v>1</v>
      </c>
    </row>
    <row r="34" spans="1:15" ht="30" customHeight="1" x14ac:dyDescent="0.25">
      <c r="A34" t="s">
        <v>867</v>
      </c>
      <c r="B34" s="2">
        <v>187100</v>
      </c>
      <c r="C34" t="s">
        <v>888</v>
      </c>
      <c r="D34" s="1" t="s">
        <v>160</v>
      </c>
      <c r="E34" t="b">
        <v>1</v>
      </c>
      <c r="F34" s="5">
        <v>10100</v>
      </c>
      <c r="G34" t="s">
        <v>889</v>
      </c>
      <c r="H34" t="s">
        <v>890</v>
      </c>
      <c r="I34" s="1" t="s">
        <v>891</v>
      </c>
      <c r="J34" s="21" t="str">
        <f>VLOOKUP(Table8[[#This Row],[Company ID]],'[1]Coordinator Notes'!$B:$C,2,FALSE)</f>
        <v>Received the COI through the portal today; the W-9 and the Spend authorization still pending. Contact acknowledged the request and is gathering the paperwork. Checking back Tuesday.</v>
      </c>
      <c r="K34" t="str">
        <f>VLOOKUP(Table8[[#This Row],[Company ID]],'[1]Coordinator Notes'!$B:$D,3,FALSE)</f>
        <v>Received</v>
      </c>
      <c r="L34" s="12" t="str">
        <f t="shared" si="0"/>
        <v>RECEIVED</v>
      </c>
      <c r="M34" s="26" t="b">
        <v>1</v>
      </c>
      <c r="N34" s="26" t="b">
        <v>0</v>
      </c>
      <c r="O34" s="26" t="b">
        <v>0</v>
      </c>
    </row>
    <row r="35" spans="1:15" ht="30" customHeight="1" x14ac:dyDescent="0.25">
      <c r="A35" t="s">
        <v>867</v>
      </c>
      <c r="B35" s="2">
        <v>739771</v>
      </c>
      <c r="C35" t="s">
        <v>1015</v>
      </c>
      <c r="D35" s="1" t="s">
        <v>587</v>
      </c>
      <c r="E35" t="b">
        <v>0</v>
      </c>
      <c r="F35" s="5">
        <v>126500</v>
      </c>
      <c r="G35" t="s">
        <v>1016</v>
      </c>
      <c r="H35" t="s">
        <v>1017</v>
      </c>
      <c r="I35" s="1" t="s">
        <v>1018</v>
      </c>
      <c r="J35" s="21" t="str">
        <f>VLOOKUP(Table8[[#This Row],[Company ID]],'[1]Coordinator Notes'!$B:$C,2,FALSE)</f>
        <v>First batch received: the W-9 and the Spend authorization logged and approved. Still awaiting the COI. Contact committed to finishing by Thursday.</v>
      </c>
      <c r="K35" t="str">
        <f>VLOOKUP(Table8[[#This Row],[Company ID]],'[1]Coordinator Notes'!$B:$D,3,FALSE)</f>
        <v>Received</v>
      </c>
      <c r="L35" s="12" t="str">
        <f t="shared" si="0"/>
        <v>RECEIVED</v>
      </c>
      <c r="M35" s="26" t="b">
        <v>0</v>
      </c>
      <c r="N35" s="26" t="b">
        <v>1</v>
      </c>
      <c r="O35" s="26" t="b">
        <v>1</v>
      </c>
    </row>
    <row r="36" spans="1:15" ht="30" customHeight="1" x14ac:dyDescent="0.25">
      <c r="A36" t="s">
        <v>867</v>
      </c>
      <c r="B36" s="2">
        <v>359876</v>
      </c>
      <c r="C36" t="s">
        <v>1067</v>
      </c>
      <c r="D36" s="1" t="s">
        <v>647</v>
      </c>
      <c r="E36" t="b">
        <v>0</v>
      </c>
      <c r="F36" s="5">
        <v>29300</v>
      </c>
      <c r="G36" t="s">
        <v>295</v>
      </c>
      <c r="H36" t="s">
        <v>1068</v>
      </c>
      <c r="I36" s="1" t="s">
        <v>1069</v>
      </c>
      <c r="J36" s="21" t="str">
        <f>VLOOKUP(Table8[[#This Row],[Company ID]],'[1]Coordinator Notes'!$B:$C,2,FALSE)</f>
        <v>First batch received: the W-9 and the Spend authorization logged and approved. Still awaiting the COI. Contact committed to finishing by Thursday.</v>
      </c>
      <c r="K36" t="str">
        <f>VLOOKUP(Table8[[#This Row],[Company ID]],'[1]Coordinator Notes'!$B:$D,3,FALSE)</f>
        <v>Received</v>
      </c>
      <c r="L36" s="12" t="str">
        <f t="shared" si="0"/>
        <v>RECEIVED</v>
      </c>
      <c r="M36" s="26" t="b">
        <v>0</v>
      </c>
      <c r="N36" s="26" t="b">
        <v>1</v>
      </c>
      <c r="O36" s="26" t="b">
        <v>1</v>
      </c>
    </row>
    <row r="37" spans="1:15" ht="30" customHeight="1" x14ac:dyDescent="0.25">
      <c r="A37" t="s">
        <v>867</v>
      </c>
      <c r="B37" s="2">
        <v>800949</v>
      </c>
      <c r="C37" t="s">
        <v>918</v>
      </c>
      <c r="D37" s="1" t="s">
        <v>211</v>
      </c>
      <c r="E37" t="b">
        <v>0</v>
      </c>
      <c r="F37" s="5">
        <v>23300</v>
      </c>
      <c r="G37" t="s">
        <v>919</v>
      </c>
      <c r="H37" t="s">
        <v>920</v>
      </c>
      <c r="I37" s="1" t="s">
        <v>921</v>
      </c>
      <c r="J37" s="21" t="str">
        <f>VLOOKUP(Table8[[#This Row],[Company ID]],'[1]Coordinator Notes'!$B:$C,2,FALSE)</f>
        <v>Received and accepted the Spend authorization, closing out the packet. No exceptions in compliance review. Vendor status set to active.</v>
      </c>
      <c r="K37" t="str">
        <f>VLOOKUP(Table8[[#This Row],[Company ID]],'[1]Coordinator Notes'!$B:$D,3,FALSE)</f>
        <v>Completion</v>
      </c>
      <c r="L37" s="12" t="b">
        <f t="shared" si="0"/>
        <v>1</v>
      </c>
      <c r="M37" s="10" t="b">
        <v>1</v>
      </c>
      <c r="N37" s="10" t="b">
        <v>1</v>
      </c>
      <c r="O37" s="10" t="b">
        <v>1</v>
      </c>
    </row>
    <row r="38" spans="1:15" ht="30" customHeight="1" x14ac:dyDescent="0.25">
      <c r="A38" t="s">
        <v>867</v>
      </c>
      <c r="B38" s="2">
        <v>702179</v>
      </c>
      <c r="C38" t="s">
        <v>922</v>
      </c>
      <c r="D38" s="1" t="s">
        <v>211</v>
      </c>
      <c r="E38" t="b">
        <v>0</v>
      </c>
      <c r="F38" s="5">
        <v>119600</v>
      </c>
      <c r="G38" t="s">
        <v>923</v>
      </c>
      <c r="H38" t="s">
        <v>924</v>
      </c>
      <c r="I38" s="1" t="s">
        <v>925</v>
      </c>
      <c r="J38" s="21" t="str">
        <f>VLOOKUP(Table8[[#This Row],[Company ID]],'[1]Coordinator Notes'!$B:$C,2,FALSE)</f>
        <v>Good progress — the COI confirmed and filed. The spend authorization and the w-9 sits in the vendor's internal approval queue, expected by next week. No concerns yet.</v>
      </c>
      <c r="K38" t="str">
        <f>VLOOKUP(Table8[[#This Row],[Company ID]],'[1]Coordinator Notes'!$B:$D,3,FALSE)</f>
        <v>Received</v>
      </c>
      <c r="L38" s="12" t="str">
        <f t="shared" ref="L38:L58" si="1">IF(COUNTIF(M38:O38, TRUE) =3,TRUE, IF(COUNTIF(M38:O38,TRUE)&gt;=1,"RECEIVED", FALSE))</f>
        <v>RECEIVED</v>
      </c>
      <c r="M38" s="26" t="b">
        <v>1</v>
      </c>
      <c r="N38" s="26" t="b">
        <v>0</v>
      </c>
      <c r="O38" s="26" t="b">
        <v>0</v>
      </c>
    </row>
    <row r="39" spans="1:15" ht="30" customHeight="1" x14ac:dyDescent="0.25">
      <c r="A39" t="s">
        <v>867</v>
      </c>
      <c r="B39" s="2">
        <v>267899</v>
      </c>
      <c r="C39" t="s">
        <v>993</v>
      </c>
      <c r="D39" s="1" t="s">
        <v>570</v>
      </c>
      <c r="E39" t="b">
        <v>0</v>
      </c>
      <c r="F39" s="5">
        <v>81700</v>
      </c>
      <c r="G39" t="s">
        <v>90</v>
      </c>
      <c r="H39" t="s">
        <v>994</v>
      </c>
      <c r="I39" s="1" t="s">
        <v>995</v>
      </c>
      <c r="J39" s="21" t="str">
        <f>VLOOKUP(Table8[[#This Row],[Company ID]],'[1]Coordinator Notes'!$B:$C,2,FALSE)</f>
        <v>Packet complete after the Spend authorization was uploaded, closing the final open item. Documents were cross-checked against contract requirements and approved. Vendor moved to active status.</v>
      </c>
      <c r="K39" t="str">
        <f>VLOOKUP(Table8[[#This Row],[Company ID]],'[1]Coordinator Notes'!$B:$D,3,FALSE)</f>
        <v>Completion</v>
      </c>
      <c r="L39" s="12" t="b">
        <f t="shared" si="1"/>
        <v>1</v>
      </c>
      <c r="M39" s="10" t="b">
        <v>1</v>
      </c>
      <c r="N39" s="10" t="b">
        <v>1</v>
      </c>
      <c r="O39" s="10" t="b">
        <v>1</v>
      </c>
    </row>
    <row r="40" spans="1:15" ht="30" customHeight="1" x14ac:dyDescent="0.25">
      <c r="A40" t="s">
        <v>867</v>
      </c>
      <c r="B40" s="2">
        <v>645291</v>
      </c>
      <c r="C40" t="s">
        <v>996</v>
      </c>
      <c r="D40" s="1" t="s">
        <v>570</v>
      </c>
      <c r="E40" t="b">
        <v>0</v>
      </c>
      <c r="F40" s="5">
        <v>94700</v>
      </c>
      <c r="G40" t="s">
        <v>997</v>
      </c>
      <c r="H40" t="s">
        <v>998</v>
      </c>
      <c r="I40" s="1" t="s">
        <v>999</v>
      </c>
      <c r="J40" s="21" t="str">
        <f>VLOOKUP(Table8[[#This Row],[Company ID]],'[1]Coordinator Notes'!$B:$C,2,FALSE)</f>
        <v>Good progress — the W-9 and the Spend authorization confirmed and filed. The coi sits in the vendor's internal approval queue, expected by Monday. No concerns yet.</v>
      </c>
      <c r="K40" t="str">
        <f>VLOOKUP(Table8[[#This Row],[Company ID]],'[1]Coordinator Notes'!$B:$D,3,FALSE)</f>
        <v>Received</v>
      </c>
      <c r="L40" s="12" t="str">
        <f t="shared" si="1"/>
        <v>RECEIVED</v>
      </c>
      <c r="M40" s="26" t="b">
        <v>0</v>
      </c>
      <c r="N40" s="26" t="b">
        <v>1</v>
      </c>
      <c r="O40" s="26" t="b">
        <v>1</v>
      </c>
    </row>
    <row r="41" spans="1:15" ht="30" customHeight="1" x14ac:dyDescent="0.25">
      <c r="A41" t="s">
        <v>867</v>
      </c>
      <c r="B41" s="2">
        <v>211289</v>
      </c>
      <c r="C41" t="s">
        <v>1019</v>
      </c>
      <c r="D41" s="1" t="s">
        <v>587</v>
      </c>
      <c r="E41" t="b">
        <v>0</v>
      </c>
      <c r="F41" s="5">
        <v>28000</v>
      </c>
      <c r="G41" t="s">
        <v>1020</v>
      </c>
      <c r="H41" t="s">
        <v>1021</v>
      </c>
      <c r="I41" s="1" t="s">
        <v>1022</v>
      </c>
      <c r="J41" s="21" t="str">
        <f>VLOOKUP(Table8[[#This Row],[Company ID]],'[1]Coordinator Notes'!$B:$C,2,FALSE)</f>
        <v>Contact uploaded the W-9 and the Spend authorization; the COI to follow once signed. Communication has been solid. Next check-in Wednesday.</v>
      </c>
      <c r="K41" t="str">
        <f>VLOOKUP(Table8[[#This Row],[Company ID]],'[1]Coordinator Notes'!$B:$D,3,FALSE)</f>
        <v>Received</v>
      </c>
      <c r="L41" s="12" t="str">
        <f t="shared" si="1"/>
        <v>RECEIVED</v>
      </c>
      <c r="M41" s="26" t="b">
        <v>0</v>
      </c>
      <c r="N41" s="26" t="b">
        <v>1</v>
      </c>
      <c r="O41" s="26" t="b">
        <v>1</v>
      </c>
    </row>
    <row r="42" spans="1:15" ht="30" customHeight="1" x14ac:dyDescent="0.25">
      <c r="A42" t="s">
        <v>867</v>
      </c>
      <c r="B42" s="2">
        <v>418422</v>
      </c>
      <c r="C42" t="s">
        <v>1070</v>
      </c>
      <c r="D42" s="1" t="s">
        <v>647</v>
      </c>
      <c r="E42" t="b">
        <v>0</v>
      </c>
      <c r="F42" s="5">
        <v>30000</v>
      </c>
      <c r="G42" t="s">
        <v>877</v>
      </c>
      <c r="H42" t="s">
        <v>1071</v>
      </c>
      <c r="I42" s="1" t="s">
        <v>1072</v>
      </c>
      <c r="J42" s="21" t="str">
        <f>VLOOKUP(Table8[[#This Row],[Company ID]],'[1]Coordinator Notes'!$B:$C,2,FALSE)</f>
        <v>The w-9 pushed back owing to a legal entity name change working through their system. The rest of the packet is fine. Expecting resolution by next week.</v>
      </c>
      <c r="K42" t="str">
        <f>VLOOKUP(Table8[[#This Row],[Company ID]],'[1]Coordinator Notes'!$B:$D,3,FALSE)</f>
        <v>Delayed</v>
      </c>
      <c r="L42" s="12" t="b">
        <f t="shared" si="1"/>
        <v>0</v>
      </c>
      <c r="M42" s="10" t="b">
        <v>0</v>
      </c>
      <c r="N42" s="10" t="b">
        <v>0</v>
      </c>
      <c r="O42" s="10" t="b">
        <v>0</v>
      </c>
    </row>
    <row r="43" spans="1:15" ht="30" customHeight="1" x14ac:dyDescent="0.25">
      <c r="A43" t="s">
        <v>867</v>
      </c>
      <c r="B43" s="2">
        <v>621739</v>
      </c>
      <c r="C43" t="s">
        <v>934</v>
      </c>
      <c r="D43" s="1" t="s">
        <v>520</v>
      </c>
      <c r="E43" t="b">
        <v>0</v>
      </c>
      <c r="F43" s="5">
        <v>6600</v>
      </c>
      <c r="G43" t="s">
        <v>935</v>
      </c>
      <c r="H43" t="s">
        <v>936</v>
      </c>
      <c r="I43" s="1" t="s">
        <v>937</v>
      </c>
      <c r="J43" s="21" t="str">
        <f>VLOOKUP(Table8[[#This Row],[Company ID]],'[1]Coordinator Notes'!$B:$C,2,FALSE)</f>
        <v>The spend authorization cleared compliance review. The coi and the w-9 was flagged as still needed and re-requested. Contact responsive and engaged.</v>
      </c>
      <c r="K43" t="str">
        <f>VLOOKUP(Table8[[#This Row],[Company ID]],'[1]Coordinator Notes'!$B:$D,3,FALSE)</f>
        <v>Received</v>
      </c>
      <c r="L43" s="12" t="str">
        <f t="shared" si="1"/>
        <v>RECEIVED</v>
      </c>
      <c r="M43" s="26" t="b">
        <v>0</v>
      </c>
      <c r="N43" s="26" t="b">
        <v>0</v>
      </c>
      <c r="O43" s="26" t="b">
        <v>1</v>
      </c>
    </row>
    <row r="44" spans="1:15" ht="30" customHeight="1" x14ac:dyDescent="0.25">
      <c r="A44" t="s">
        <v>867</v>
      </c>
      <c r="B44" s="2">
        <v>699385</v>
      </c>
      <c r="C44" t="s">
        <v>1055</v>
      </c>
      <c r="D44" s="1" t="s">
        <v>230</v>
      </c>
      <c r="E44" t="b">
        <v>0</v>
      </c>
      <c r="F44" s="5">
        <v>4700</v>
      </c>
      <c r="G44" t="s">
        <v>1056</v>
      </c>
      <c r="H44" t="s">
        <v>1057</v>
      </c>
      <c r="I44" s="1" t="s">
        <v>1058</v>
      </c>
      <c r="J44" s="21" t="str">
        <f>VLOOKUP(Table8[[#This Row],[Company ID]],'[1]Coordinator Notes'!$B:$C,2,FALSE)</f>
        <v>Good progress — the Spend authorization confirmed and filed. The coi and the w-9 sits in the vendor's internal approval queue, expected by Wednesday. No concerns yet.</v>
      </c>
      <c r="K44" t="str">
        <f>VLOOKUP(Table8[[#This Row],[Company ID]],'[1]Coordinator Notes'!$B:$D,3,FALSE)</f>
        <v>Received</v>
      </c>
      <c r="L44" s="12" t="str">
        <f t="shared" si="1"/>
        <v>RECEIVED</v>
      </c>
      <c r="M44" s="26" t="b">
        <v>0</v>
      </c>
      <c r="N44" s="26" t="b">
        <v>0</v>
      </c>
      <c r="O44" s="26" t="b">
        <v>1</v>
      </c>
    </row>
    <row r="45" spans="1:15" ht="30" customHeight="1" x14ac:dyDescent="0.25">
      <c r="A45" t="s">
        <v>867</v>
      </c>
      <c r="B45" s="2">
        <v>719982</v>
      </c>
      <c r="C45" t="s">
        <v>868</v>
      </c>
      <c r="D45" s="1" t="s">
        <v>28</v>
      </c>
      <c r="E45" t="b">
        <v>1</v>
      </c>
      <c r="F45" s="5">
        <v>316600</v>
      </c>
      <c r="G45" t="s">
        <v>869</v>
      </c>
      <c r="H45" t="s">
        <v>870</v>
      </c>
      <c r="I45" s="1" t="s">
        <v>871</v>
      </c>
      <c r="J45" s="21" t="str">
        <f>VLOOKUP(Table8[[#This Row],[Company ID]],'[1]Coordinator Notes'!$B:$C,2,FALSE)</f>
        <v>The coi and the spend authorization cleared compliance review. The w-9 was flagged as still needed and re-requested. Contact responsive and engaged.</v>
      </c>
      <c r="K45" t="str">
        <f>VLOOKUP(Table8[[#This Row],[Company ID]],'[1]Coordinator Notes'!$B:$D,3,FALSE)</f>
        <v>Received</v>
      </c>
      <c r="L45" s="12" t="str">
        <f t="shared" si="1"/>
        <v>RECEIVED</v>
      </c>
      <c r="M45" s="26" t="b">
        <v>1</v>
      </c>
      <c r="N45" s="26" t="b">
        <v>0</v>
      </c>
      <c r="O45" s="26" t="b">
        <v>1</v>
      </c>
    </row>
    <row r="46" spans="1:15" ht="30" customHeight="1" x14ac:dyDescent="0.25">
      <c r="A46" t="s">
        <v>867</v>
      </c>
      <c r="B46" s="2">
        <v>727278</v>
      </c>
      <c r="C46" t="s">
        <v>926</v>
      </c>
      <c r="D46" s="1" t="s">
        <v>211</v>
      </c>
      <c r="E46" t="b">
        <v>0</v>
      </c>
      <c r="F46" s="5">
        <v>67400</v>
      </c>
      <c r="G46" t="s">
        <v>927</v>
      </c>
      <c r="H46" t="s">
        <v>928</v>
      </c>
      <c r="I46" s="1" t="s">
        <v>929</v>
      </c>
      <c r="J46" s="21" t="str">
        <f>VLOOKUP(Table8[[#This Row],[Company ID]],'[1]Coordinator Notes'!$B:$C,2,FALSE)</f>
        <v>The coi and the w-9 cleared compliance review. The spend authorization was flagged as still needed and re-requested. Contact responsive and engaged.</v>
      </c>
      <c r="K46" t="str">
        <f>VLOOKUP(Table8[[#This Row],[Company ID]],'[1]Coordinator Notes'!$B:$D,3,FALSE)</f>
        <v>Received</v>
      </c>
      <c r="L46" s="12" t="str">
        <f t="shared" si="1"/>
        <v>RECEIVED</v>
      </c>
      <c r="M46" s="26" t="b">
        <v>1</v>
      </c>
      <c r="N46" s="26" t="b">
        <v>1</v>
      </c>
      <c r="O46" s="26" t="b">
        <v>0</v>
      </c>
    </row>
    <row r="47" spans="1:15" ht="30" customHeight="1" x14ac:dyDescent="0.25">
      <c r="A47" t="s">
        <v>867</v>
      </c>
      <c r="B47" s="2">
        <v>147434</v>
      </c>
      <c r="C47" t="s">
        <v>892</v>
      </c>
      <c r="D47" s="1" t="s">
        <v>160</v>
      </c>
      <c r="E47" t="b">
        <v>1</v>
      </c>
      <c r="F47" s="5">
        <v>14600</v>
      </c>
      <c r="G47" t="s">
        <v>893</v>
      </c>
      <c r="H47" t="s">
        <v>894</v>
      </c>
      <c r="I47" s="1" t="s">
        <v>895</v>
      </c>
      <c r="J47" s="21" t="str">
        <f>VLOOKUP(Table8[[#This Row],[Company ID]],'[1]Coordinator Notes'!$B:$C,2,FALSE)</f>
        <v>Received and accepted the COI, closing out the packet. No exceptions in compliance review. Vendor status set to active.</v>
      </c>
      <c r="K47" t="str">
        <f>VLOOKUP(Table8[[#This Row],[Company ID]],'[1]Coordinator Notes'!$B:$D,3,FALSE)</f>
        <v>Completion</v>
      </c>
      <c r="L47" s="12" t="b">
        <f t="shared" si="1"/>
        <v>1</v>
      </c>
      <c r="M47" s="10" t="b">
        <v>1</v>
      </c>
      <c r="N47" s="10" t="b">
        <v>1</v>
      </c>
      <c r="O47" s="10" t="b">
        <v>1</v>
      </c>
    </row>
    <row r="48" spans="1:15" ht="30" customHeight="1" x14ac:dyDescent="0.25">
      <c r="A48" t="s">
        <v>867</v>
      </c>
      <c r="B48" s="2">
        <v>235412</v>
      </c>
      <c r="C48" t="s">
        <v>930</v>
      </c>
      <c r="D48" s="1" t="s">
        <v>211</v>
      </c>
      <c r="E48" t="b">
        <v>0</v>
      </c>
      <c r="F48" s="5">
        <v>112900</v>
      </c>
      <c r="G48" t="s">
        <v>931</v>
      </c>
      <c r="H48" t="s">
        <v>932</v>
      </c>
      <c r="I48" s="1" t="s">
        <v>933</v>
      </c>
      <c r="J48" s="21" t="str">
        <f>VLOOKUP(Table8[[#This Row],[Company ID]],'[1]Coordinator Notes'!$B:$C,2,FALSE)</f>
        <v>Everything is in — the Spend authorization arrived this Friday and matched our records. Contact was proactive throughout. Onboarding complete.</v>
      </c>
      <c r="K48" t="str">
        <f>VLOOKUP(Table8[[#This Row],[Company ID]],'[1]Coordinator Notes'!$B:$D,3,FALSE)</f>
        <v>Completion</v>
      </c>
      <c r="L48" s="12" t="b">
        <f t="shared" si="1"/>
        <v>1</v>
      </c>
      <c r="M48" s="10" t="b">
        <v>1</v>
      </c>
      <c r="N48" s="10" t="b">
        <v>1</v>
      </c>
      <c r="O48" s="10" t="b">
        <v>1</v>
      </c>
    </row>
    <row r="49" spans="1:15" ht="30" customHeight="1" x14ac:dyDescent="0.25">
      <c r="A49" t="s">
        <v>867</v>
      </c>
      <c r="B49" s="2">
        <v>268181</v>
      </c>
      <c r="C49" t="s">
        <v>908</v>
      </c>
      <c r="D49" s="20" t="s">
        <v>206</v>
      </c>
      <c r="E49" t="b">
        <v>0</v>
      </c>
      <c r="F49" s="5">
        <v>15400</v>
      </c>
      <c r="G49" t="s">
        <v>541</v>
      </c>
      <c r="H49" t="s">
        <v>909</v>
      </c>
      <c r="I49" s="1" t="s">
        <v>910</v>
      </c>
      <c r="J49" s="21" t="str">
        <f>VLOOKUP(Table8[[#This Row],[Company ID]],'[1]Coordinator Notes'!$B:$C,2,FALSE)</f>
        <v>Good progress — the COI and the W-9 confirmed and filed. The spend authorization sits in the vendor's internal approval queue, expected by Friday. No concerns yet.</v>
      </c>
      <c r="K49" t="str">
        <f>VLOOKUP(Table8[[#This Row],[Company ID]],'[1]Coordinator Notes'!$B:$D,3,FALSE)</f>
        <v>Received</v>
      </c>
      <c r="L49" s="12" t="str">
        <f t="shared" si="1"/>
        <v>RECEIVED</v>
      </c>
      <c r="M49" s="26" t="b">
        <v>1</v>
      </c>
      <c r="N49" s="26" t="b">
        <v>1</v>
      </c>
      <c r="O49" s="26" t="b">
        <v>0</v>
      </c>
    </row>
    <row r="50" spans="1:15" ht="30" customHeight="1" x14ac:dyDescent="0.25">
      <c r="A50" t="s">
        <v>867</v>
      </c>
      <c r="B50" s="2">
        <v>985391</v>
      </c>
      <c r="C50" t="s">
        <v>946</v>
      </c>
      <c r="D50" s="1" t="s">
        <v>216</v>
      </c>
      <c r="E50" t="b">
        <v>0</v>
      </c>
      <c r="F50" s="5">
        <v>22700</v>
      </c>
      <c r="G50" t="s">
        <v>947</v>
      </c>
      <c r="H50" t="s">
        <v>948</v>
      </c>
      <c r="I50" s="1" t="s">
        <v>949</v>
      </c>
      <c r="J50" s="21" t="str">
        <f>VLOOKUP(Table8[[#This Row],[Company ID]],'[1]Coordinator Notes'!$B:$C,2,FALSE)</f>
        <v>Received the W-9 and the Spend authorization through the portal today; the COI still pending. Contact acknowledged the request and is gathering the paperwork. Checking back Friday.</v>
      </c>
      <c r="K50" t="str">
        <f>VLOOKUP(Table8[[#This Row],[Company ID]],'[1]Coordinator Notes'!$B:$D,3,FALSE)</f>
        <v>Received</v>
      </c>
      <c r="L50" s="12" t="str">
        <f t="shared" si="1"/>
        <v>RECEIVED</v>
      </c>
      <c r="M50" s="26" t="b">
        <v>0</v>
      </c>
      <c r="N50" s="26" t="b">
        <v>1</v>
      </c>
      <c r="O50" s="26" t="b">
        <v>1</v>
      </c>
    </row>
    <row r="51" spans="1:15" ht="30" customHeight="1" x14ac:dyDescent="0.25">
      <c r="A51" t="s">
        <v>867</v>
      </c>
      <c r="B51" s="2">
        <v>295040</v>
      </c>
      <c r="C51" t="s">
        <v>950</v>
      </c>
      <c r="D51" s="1" t="s">
        <v>216</v>
      </c>
      <c r="E51" t="b">
        <v>0</v>
      </c>
      <c r="F51" s="5">
        <v>27200</v>
      </c>
      <c r="G51" t="s">
        <v>685</v>
      </c>
      <c r="H51" t="s">
        <v>951</v>
      </c>
      <c r="I51" s="1" t="s">
        <v>952</v>
      </c>
      <c r="J51" s="21" t="str">
        <f>VLOOKUP(Table8[[#This Row],[Company ID]],'[1]Coordinator Notes'!$B:$C,2,FALSE)</f>
        <v>All onboarding documents — COI, W-9, and Spend authorization — are received and verified, with the Spend authorization arriving last. Compliance review passed with no exceptions. Vendor is fully onboarded and cleared for service.</v>
      </c>
      <c r="K51" t="str">
        <f>VLOOKUP(Table8[[#This Row],[Company ID]],'[1]Coordinator Notes'!$B:$D,3,FALSE)</f>
        <v>Completion</v>
      </c>
      <c r="L51" s="12" t="b">
        <f t="shared" si="1"/>
        <v>1</v>
      </c>
      <c r="M51" s="10" t="b">
        <v>1</v>
      </c>
      <c r="N51" s="10" t="b">
        <v>1</v>
      </c>
      <c r="O51" s="10" t="b">
        <v>1</v>
      </c>
    </row>
    <row r="52" spans="1:15" ht="30" customHeight="1" x14ac:dyDescent="0.25">
      <c r="A52" t="s">
        <v>867</v>
      </c>
      <c r="B52" s="2">
        <v>419720</v>
      </c>
      <c r="C52" t="s">
        <v>1011</v>
      </c>
      <c r="D52" s="1" t="s">
        <v>441</v>
      </c>
      <c r="E52" t="b">
        <v>0</v>
      </c>
      <c r="F52" s="5">
        <v>22300</v>
      </c>
      <c r="G52" t="s">
        <v>1012</v>
      </c>
      <c r="H52" t="s">
        <v>1013</v>
      </c>
      <c r="I52" s="1" t="s">
        <v>1014</v>
      </c>
      <c r="J52" s="21" t="str">
        <f>VLOOKUP(Table8[[#This Row],[Company ID]],'[1]Coordinator Notes'!$B:$C,2,FALSE)</f>
        <v>Contact uploaded the COI; the Spend authorization and the W-9 to follow once signed. Communication has been solid. Next check-in next week.</v>
      </c>
      <c r="K52" t="str">
        <f>VLOOKUP(Table8[[#This Row],[Company ID]],'[1]Coordinator Notes'!$B:$D,3,FALSE)</f>
        <v>Received</v>
      </c>
      <c r="L52" s="12" t="str">
        <f t="shared" si="1"/>
        <v>RECEIVED</v>
      </c>
      <c r="M52" s="26" t="b">
        <v>1</v>
      </c>
      <c r="N52" s="26" t="b">
        <v>0</v>
      </c>
      <c r="O52" s="26" t="b">
        <v>1</v>
      </c>
    </row>
    <row r="53" spans="1:15" ht="30" customHeight="1" x14ac:dyDescent="0.25">
      <c r="A53" t="s">
        <v>867</v>
      </c>
      <c r="B53" s="2">
        <v>460779</v>
      </c>
      <c r="C53" t="s">
        <v>876</v>
      </c>
      <c r="D53" s="1" t="s">
        <v>118</v>
      </c>
      <c r="E53" t="b">
        <v>1</v>
      </c>
      <c r="F53" s="5">
        <v>460300</v>
      </c>
      <c r="G53" t="s">
        <v>877</v>
      </c>
      <c r="H53" t="s">
        <v>878</v>
      </c>
      <c r="I53" s="1" t="s">
        <v>879</v>
      </c>
      <c r="J53" s="21" t="str">
        <f>VLOOKUP(Table8[[#This Row],[Company ID]],'[1]Coordinator Notes'!$B:$C,2,FALSE)</f>
        <v>Received the COI and the Spend authorization through the portal today; the W-9 still pending. Contact acknowledged the request and is gathering the paperwork. Checking back Monday.</v>
      </c>
      <c r="K53" t="str">
        <f>VLOOKUP(Table8[[#This Row],[Company ID]],'[1]Coordinator Notes'!$B:$D,3,FALSE)</f>
        <v>Received</v>
      </c>
      <c r="L53" s="12" t="str">
        <f t="shared" si="1"/>
        <v>RECEIVED</v>
      </c>
      <c r="M53" s="26" t="b">
        <v>1</v>
      </c>
      <c r="N53" s="26" t="b">
        <v>0</v>
      </c>
      <c r="O53" s="26" t="b">
        <v>1</v>
      </c>
    </row>
    <row r="54" spans="1:15" ht="30" customHeight="1" x14ac:dyDescent="0.25">
      <c r="A54" t="s">
        <v>867</v>
      </c>
      <c r="B54" s="2">
        <v>283180</v>
      </c>
      <c r="C54" t="s">
        <v>969</v>
      </c>
      <c r="D54" s="1" t="s">
        <v>432</v>
      </c>
      <c r="E54" t="b">
        <v>0</v>
      </c>
      <c r="F54" s="5">
        <v>159000</v>
      </c>
      <c r="G54" t="s">
        <v>970</v>
      </c>
      <c r="H54" t="s">
        <v>971</v>
      </c>
      <c r="I54" s="1" t="s">
        <v>972</v>
      </c>
      <c r="J54" s="21" t="str">
        <f>VLOOKUP(Table8[[#This Row],[Company ID]],'[1]Coordinator Notes'!$B:$C,2,FALSE)</f>
        <v>The coi and the w-9 received and verified; the Spend authorization still outstanding. Contact confirmed the remainder will be submitted by Friday. Following up then.</v>
      </c>
      <c r="K54" t="str">
        <f>VLOOKUP(Table8[[#This Row],[Company ID]],'[1]Coordinator Notes'!$B:$D,3,FALSE)</f>
        <v>Received</v>
      </c>
      <c r="L54" s="12" t="str">
        <f t="shared" si="1"/>
        <v>RECEIVED</v>
      </c>
      <c r="M54" s="26" t="b">
        <v>1</v>
      </c>
      <c r="N54" s="26" t="b">
        <v>1</v>
      </c>
      <c r="O54" s="26" t="b">
        <v>0</v>
      </c>
    </row>
    <row r="55" spans="1:15" ht="30" customHeight="1" x14ac:dyDescent="0.25">
      <c r="A55" t="s">
        <v>867</v>
      </c>
      <c r="B55" s="2">
        <v>590419</v>
      </c>
      <c r="C55" t="s">
        <v>1023</v>
      </c>
      <c r="D55" s="1" t="s">
        <v>587</v>
      </c>
      <c r="E55" t="b">
        <v>0</v>
      </c>
      <c r="F55" s="5">
        <v>35500</v>
      </c>
      <c r="G55" t="s">
        <v>1024</v>
      </c>
      <c r="H55" t="s">
        <v>1025</v>
      </c>
      <c r="I55" s="1" t="s">
        <v>1026</v>
      </c>
      <c r="J55" s="21" t="str">
        <f>VLOOKUP(Table8[[#This Row],[Company ID]],'[1]Coordinator Notes'!$B:$C,2,FALSE)</f>
        <v>Progressing well: the Spend authorization accepted and logged. Outstanding item is the W-9 and the COI, which the contact expects by Friday. Steady communication.</v>
      </c>
      <c r="K55" t="str">
        <f>VLOOKUP(Table8[[#This Row],[Company ID]],'[1]Coordinator Notes'!$B:$D,3,FALSE)</f>
        <v>Received</v>
      </c>
      <c r="L55" s="12" t="str">
        <f t="shared" si="1"/>
        <v>RECEIVED</v>
      </c>
      <c r="M55" s="26" t="b">
        <v>0</v>
      </c>
      <c r="N55" s="26" t="b">
        <v>0</v>
      </c>
      <c r="O55" s="26" t="b">
        <v>1</v>
      </c>
    </row>
    <row r="56" spans="1:15" ht="30" customHeight="1" x14ac:dyDescent="0.25">
      <c r="A56" t="s">
        <v>867</v>
      </c>
      <c r="B56" s="2">
        <v>650186</v>
      </c>
      <c r="C56" t="s">
        <v>953</v>
      </c>
      <c r="D56" s="1" t="s">
        <v>216</v>
      </c>
      <c r="E56" t="b">
        <v>0</v>
      </c>
      <c r="F56" s="5">
        <v>36200</v>
      </c>
      <c r="G56" t="s">
        <v>954</v>
      </c>
      <c r="H56" t="s">
        <v>955</v>
      </c>
      <c r="I56" s="1" t="s">
        <v>956</v>
      </c>
      <c r="J56" s="21" t="str">
        <f>VLOOKUP(Table8[[#This Row],[Company ID]],'[1]Coordinator Notes'!$B:$C,2,FALSE)</f>
        <v>Received the COI and the Spend authorization through the portal today; the W-9 still pending. Contact acknowledged the request and is gathering the paperwork. Checking back Tuesday.</v>
      </c>
      <c r="K56" t="str">
        <f>VLOOKUP(Table8[[#This Row],[Company ID]],'[1]Coordinator Notes'!$B:$D,3,FALSE)</f>
        <v>Received</v>
      </c>
      <c r="L56" s="12" t="str">
        <f t="shared" si="1"/>
        <v>RECEIVED</v>
      </c>
      <c r="M56" s="26" t="b">
        <v>0</v>
      </c>
      <c r="N56" s="26" t="b">
        <v>0</v>
      </c>
      <c r="O56" s="26" t="b">
        <v>1</v>
      </c>
    </row>
    <row r="57" spans="1:15" ht="30" customHeight="1" x14ac:dyDescent="0.25">
      <c r="A57" t="s">
        <v>867</v>
      </c>
      <c r="B57" s="2">
        <v>576172</v>
      </c>
      <c r="C57" t="s">
        <v>961</v>
      </c>
      <c r="D57" s="1" t="s">
        <v>221</v>
      </c>
      <c r="E57" t="b">
        <v>0</v>
      </c>
      <c r="F57" s="5">
        <v>12800</v>
      </c>
      <c r="G57" t="s">
        <v>962</v>
      </c>
      <c r="H57" t="s">
        <v>963</v>
      </c>
      <c r="I57" s="1" t="s">
        <v>964</v>
      </c>
      <c r="J57" s="21" t="str">
        <f>VLOOKUP(Table8[[#This Row],[Company ID]],'[1]Coordinator Notes'!$B:$C,2,FALSE)</f>
        <v>Onboarding finalized after a short verification call this Tuesday. Every document is signed, dated, and on file. Ready for service assignment.</v>
      </c>
      <c r="K57" t="str">
        <f>VLOOKUP(Table8[[#This Row],[Company ID]],'[1]Coordinator Notes'!$B:$D,3,FALSE)</f>
        <v>Completion</v>
      </c>
      <c r="L57" s="12" t="b">
        <f t="shared" si="1"/>
        <v>1</v>
      </c>
      <c r="M57" s="10" t="b">
        <v>1</v>
      </c>
      <c r="N57" s="10" t="b">
        <v>1</v>
      </c>
      <c r="O57" s="10" t="b">
        <v>1</v>
      </c>
    </row>
    <row r="58" spans="1:15" ht="30" customHeight="1" x14ac:dyDescent="0.25">
      <c r="A58" t="s">
        <v>867</v>
      </c>
      <c r="B58" s="2">
        <v>987529</v>
      </c>
      <c r="C58" t="s">
        <v>973</v>
      </c>
      <c r="D58" s="1" t="s">
        <v>432</v>
      </c>
      <c r="E58" t="b">
        <v>0</v>
      </c>
      <c r="F58" s="5">
        <v>20300</v>
      </c>
      <c r="G58" t="s">
        <v>974</v>
      </c>
      <c r="H58" t="s">
        <v>975</v>
      </c>
      <c r="I58" s="1" t="s">
        <v>976</v>
      </c>
      <c r="J58" s="21" t="str">
        <f>VLOOKUP(Table8[[#This Row],[Company ID]],'[1]Coordinator Notes'!$B:$C,2,FALSE)</f>
        <v>Partial packet in — the COI and the W-9 on file and within requirements. Awaiting the Spend authorization from the vendor's team. Reminder set for Tuesday.</v>
      </c>
      <c r="K58" t="str">
        <f>VLOOKUP(Table8[[#This Row],[Company ID]],'[1]Coordinator Notes'!$B:$D,3,FALSE)</f>
        <v>Received</v>
      </c>
      <c r="L58" s="12" t="str">
        <f t="shared" si="1"/>
        <v>RECEIVED</v>
      </c>
      <c r="M58" s="26" t="b">
        <v>1</v>
      </c>
      <c r="N58" s="26" t="b">
        <v>0</v>
      </c>
      <c r="O58" s="26" t="b">
        <v>1</v>
      </c>
    </row>
  </sheetData>
  <conditionalFormatting sqref="L6:L58">
    <cfRule type="containsText" dxfId="5" priority="1" operator="containsText" text="RECEIVED">
      <formula>NOT(ISERROR(SEARCH("RECEIVED",L6)))</formula>
    </cfRule>
    <cfRule type="containsText" dxfId="4" priority="2" operator="containsText" text="TRUE">
      <formula>NOT(ISERROR(SEARCH("TRUE",L6)))</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24062-9CEA-43C3-8E20-047483739228}">
  <sheetPr>
    <tabColor theme="3" tint="0.39997558519241921"/>
  </sheetPr>
  <dimension ref="A1:O58"/>
  <sheetViews>
    <sheetView zoomScale="80" zoomScaleNormal="80" workbookViewId="0">
      <pane ySplit="5" topLeftCell="A10" activePane="bottomLeft" state="frozen"/>
      <selection pane="bottomLeft" activeCell="D2" sqref="D2"/>
    </sheetView>
  </sheetViews>
  <sheetFormatPr defaultRowHeight="15" x14ac:dyDescent="0.25"/>
  <cols>
    <col min="1" max="1" width="15.140625" bestFit="1" customWidth="1"/>
    <col min="2" max="2" width="15.7109375" style="2" customWidth="1"/>
    <col min="3" max="3" width="38.140625" bestFit="1" customWidth="1"/>
    <col min="4" max="4" width="26.140625" bestFit="1" customWidth="1"/>
    <col min="5" max="5" width="9.28515625" customWidth="1"/>
    <col min="6" max="6" width="15.140625" customWidth="1"/>
    <col min="7" max="7" width="17.5703125" bestFit="1" customWidth="1"/>
    <col min="8" max="8" width="15.7109375" customWidth="1"/>
    <col min="9" max="9" width="35.28515625" bestFit="1" customWidth="1"/>
    <col min="10" max="10" width="35.7109375" customWidth="1"/>
    <col min="11" max="11" width="18.7109375" customWidth="1"/>
    <col min="12" max="12" width="18" customWidth="1"/>
    <col min="13" max="15" width="12.7109375" customWidth="1"/>
  </cols>
  <sheetData>
    <row r="1" spans="1:15" ht="15.75" x14ac:dyDescent="0.25">
      <c r="A1" s="61" t="s">
        <v>1483</v>
      </c>
      <c r="B1" s="63"/>
      <c r="C1" s="62"/>
    </row>
    <row r="2" spans="1:15" ht="15.75" x14ac:dyDescent="0.25">
      <c r="A2" s="61" t="s">
        <v>1672</v>
      </c>
      <c r="B2" s="63"/>
      <c r="C2" s="62"/>
    </row>
    <row r="5" spans="1:15" ht="30" customHeight="1" x14ac:dyDescent="0.25">
      <c r="A5" s="14" t="s">
        <v>0</v>
      </c>
      <c r="B5" s="14" t="s">
        <v>1</v>
      </c>
      <c r="C5" s="14" t="s">
        <v>2</v>
      </c>
      <c r="D5" s="14" t="s">
        <v>3</v>
      </c>
      <c r="E5" s="14" t="s">
        <v>4</v>
      </c>
      <c r="F5" s="14" t="s">
        <v>5</v>
      </c>
      <c r="G5" s="14" t="s">
        <v>6</v>
      </c>
      <c r="H5" s="14" t="s">
        <v>7</v>
      </c>
      <c r="I5" s="14" t="s">
        <v>8</v>
      </c>
      <c r="J5" s="14" t="s">
        <v>1468</v>
      </c>
      <c r="K5" s="14" t="s">
        <v>1469</v>
      </c>
      <c r="L5" s="14" t="s">
        <v>1470</v>
      </c>
      <c r="M5" s="14" t="s">
        <v>1471</v>
      </c>
      <c r="N5" s="14" t="s">
        <v>1472</v>
      </c>
      <c r="O5" s="14" t="s">
        <v>1473</v>
      </c>
    </row>
    <row r="6" spans="1:15" ht="30" customHeight="1" x14ac:dyDescent="0.25">
      <c r="A6" t="s">
        <v>1073</v>
      </c>
      <c r="B6" s="2">
        <v>935298</v>
      </c>
      <c r="C6" t="s">
        <v>1074</v>
      </c>
      <c r="D6" s="20" t="s">
        <v>11</v>
      </c>
      <c r="E6" t="b">
        <v>1</v>
      </c>
      <c r="F6" s="4">
        <v>100000</v>
      </c>
      <c r="G6" t="s">
        <v>1075</v>
      </c>
      <c r="H6" t="s">
        <v>1076</v>
      </c>
      <c r="I6" s="1" t="s">
        <v>1077</v>
      </c>
      <c r="J6" s="21" t="str">
        <f>VLOOKUP(Table9[[#This Row],[Company ID]],'[1]Coordinator Notes'!$B:$C,2,FALSE)</f>
        <v>Replies are sporadic and often incomplete, slowing everything down. Still awaiting all required documents. Setting a firm deadline in the next message.</v>
      </c>
      <c r="K6" t="str">
        <f>VLOOKUP(Table9[[#This Row],[Company ID]],'[1]Coordinator Notes'!$B:$D,3,FALSE)</f>
        <v>Poor Communication</v>
      </c>
      <c r="L6" s="12" t="b">
        <f t="shared" ref="L6:L37" si="0">IF(COUNTIF(M6:O6, TRUE) =3,TRUE, IF(COUNTIF(M6:O6,TRUE)&gt;=1,"RECEIVED", FALSE))</f>
        <v>1</v>
      </c>
      <c r="M6" s="26" t="b">
        <v>1</v>
      </c>
      <c r="N6" s="26" t="b">
        <v>1</v>
      </c>
      <c r="O6" s="26" t="b">
        <v>1</v>
      </c>
    </row>
    <row r="7" spans="1:15" ht="30" customHeight="1" x14ac:dyDescent="0.25">
      <c r="A7" t="s">
        <v>1073</v>
      </c>
      <c r="B7" s="2">
        <v>938653</v>
      </c>
      <c r="C7" t="s">
        <v>1078</v>
      </c>
      <c r="D7" s="1" t="s">
        <v>28</v>
      </c>
      <c r="E7" t="b">
        <v>1</v>
      </c>
      <c r="F7" s="4">
        <v>479100</v>
      </c>
      <c r="G7" t="s">
        <v>1079</v>
      </c>
      <c r="H7" t="s">
        <v>1080</v>
      </c>
      <c r="I7" s="1" t="s">
        <v>1081</v>
      </c>
      <c r="J7" s="21" t="str">
        <f>VLOOKUP(Table9[[#This Row],[Company ID]],'[1]Coordinator Notes'!$B:$C,2,FALSE)</f>
        <v>First batch received: the COI and the W-9 logged and approved. Still awaiting the Spend authorization. Contact committed to finishing by next week.</v>
      </c>
      <c r="K7" t="str">
        <f>VLOOKUP(Table9[[#This Row],[Company ID]],'[1]Coordinator Notes'!$B:$D,3,FALSE)</f>
        <v>Received</v>
      </c>
      <c r="L7" s="12" t="str">
        <f t="shared" si="0"/>
        <v>RECEIVED</v>
      </c>
      <c r="M7" s="26" t="b">
        <v>1</v>
      </c>
      <c r="N7" s="26" t="b">
        <v>1</v>
      </c>
      <c r="O7" s="26" t="b">
        <v>0</v>
      </c>
    </row>
    <row r="8" spans="1:15" ht="30" customHeight="1" x14ac:dyDescent="0.25">
      <c r="A8" t="s">
        <v>1073</v>
      </c>
      <c r="B8" s="2">
        <v>150528</v>
      </c>
      <c r="C8" t="s">
        <v>1082</v>
      </c>
      <c r="D8" s="1" t="s">
        <v>89</v>
      </c>
      <c r="E8" t="b">
        <v>1</v>
      </c>
      <c r="F8" s="4">
        <v>286000</v>
      </c>
      <c r="G8" t="s">
        <v>1083</v>
      </c>
      <c r="H8" t="s">
        <v>1084</v>
      </c>
      <c r="I8" s="1" t="s">
        <v>1085</v>
      </c>
      <c r="J8" s="21" t="str">
        <f>VLOOKUP(Table9[[#This Row],[Company ID]],'[1]Coordinator Notes'!$B:$C,2,FALSE)</f>
        <v>The coi held up because of a processing backlog cited by their broker. Contact is actively working it and apologized for the lag. New target is Friday.</v>
      </c>
      <c r="K8" t="str">
        <f>VLOOKUP(Table9[[#This Row],[Company ID]],'[1]Coordinator Notes'!$B:$D,3,FALSE)</f>
        <v>Delayed</v>
      </c>
      <c r="L8" s="12" t="str">
        <f t="shared" si="0"/>
        <v>RECEIVED</v>
      </c>
      <c r="M8" s="26" t="b">
        <v>1</v>
      </c>
      <c r="N8" s="26" t="b">
        <v>0</v>
      </c>
      <c r="O8" s="26" t="b">
        <v>0</v>
      </c>
    </row>
    <row r="9" spans="1:15" ht="30" customHeight="1" x14ac:dyDescent="0.25">
      <c r="A9" t="s">
        <v>1073</v>
      </c>
      <c r="B9" s="2">
        <v>655678</v>
      </c>
      <c r="C9" t="s">
        <v>1086</v>
      </c>
      <c r="D9" s="1" t="s">
        <v>89</v>
      </c>
      <c r="E9" t="b">
        <v>1</v>
      </c>
      <c r="F9" s="4">
        <v>263900</v>
      </c>
      <c r="G9" t="s">
        <v>1087</v>
      </c>
      <c r="H9" t="s">
        <v>1088</v>
      </c>
      <c r="I9" s="1" t="s">
        <v>1089</v>
      </c>
      <c r="J9" s="21" t="str">
        <f>VLOOKUP(Table9[[#This Row],[Company ID]],'[1]Coordinator Notes'!$B:$C,2,FALSE)</f>
        <v>Packet complete after the COI was uploaded, closing the final open item. Documents were cross-checked against contract requirements and approved. Vendor moved to active status.</v>
      </c>
      <c r="K9" t="str">
        <f>VLOOKUP(Table9[[#This Row],[Company ID]],'[1]Coordinator Notes'!$B:$D,3,FALSE)</f>
        <v>Completion</v>
      </c>
      <c r="L9" s="12" t="b">
        <f t="shared" si="0"/>
        <v>1</v>
      </c>
      <c r="M9" s="26" t="b">
        <v>1</v>
      </c>
      <c r="N9" s="26" t="b">
        <v>1</v>
      </c>
      <c r="O9" s="26" t="b">
        <v>1</v>
      </c>
    </row>
    <row r="10" spans="1:15" ht="30" customHeight="1" x14ac:dyDescent="0.25">
      <c r="A10" t="s">
        <v>1073</v>
      </c>
      <c r="B10" s="2">
        <v>589324</v>
      </c>
      <c r="C10" t="s">
        <v>1090</v>
      </c>
      <c r="D10" s="1" t="s">
        <v>143</v>
      </c>
      <c r="E10" t="b">
        <v>1</v>
      </c>
      <c r="F10" s="4">
        <v>248800</v>
      </c>
      <c r="G10" t="s">
        <v>1091</v>
      </c>
      <c r="H10" t="s">
        <v>1092</v>
      </c>
      <c r="I10" s="1" t="s">
        <v>1093</v>
      </c>
      <c r="J10" s="21" t="str">
        <f>VLOOKUP(Table9[[#This Row],[Company ID]],'[1]Coordinator Notes'!$B:$C,2,FALSE)</f>
        <v>Third outreach attempt with no response from the contact. Voicemail left and a follow-up email sent requesting the outstanding documents. Escalating to a backup contact if no reply by Thursday.</v>
      </c>
      <c r="K10" t="str">
        <f>VLOOKUP(Table9[[#This Row],[Company ID]],'[1]Coordinator Notes'!$B:$D,3,FALSE)</f>
        <v>Poor Communication</v>
      </c>
      <c r="L10" s="12" t="b">
        <f t="shared" si="0"/>
        <v>0</v>
      </c>
      <c r="M10" s="26" t="b">
        <v>0</v>
      </c>
      <c r="N10" s="26" t="b">
        <v>0</v>
      </c>
      <c r="O10" s="26" t="b">
        <v>0</v>
      </c>
    </row>
    <row r="11" spans="1:15" ht="30" customHeight="1" x14ac:dyDescent="0.25">
      <c r="A11" t="s">
        <v>1073</v>
      </c>
      <c r="B11" s="2">
        <v>636102</v>
      </c>
      <c r="C11" t="s">
        <v>1094</v>
      </c>
      <c r="D11" s="1" t="s">
        <v>143</v>
      </c>
      <c r="E11" t="b">
        <v>1</v>
      </c>
      <c r="F11" s="4">
        <v>258000</v>
      </c>
      <c r="G11" t="s">
        <v>1095</v>
      </c>
      <c r="H11" t="s">
        <v>1096</v>
      </c>
      <c r="I11" s="1" t="s">
        <v>1097</v>
      </c>
      <c r="J11" s="21" t="str">
        <f>VLOOKUP(Table9[[#This Row],[Company ID]],'[1]Coordinator Notes'!$B:$C,2,FALSE)</f>
        <v>Partial packet in — the COI and the W-9 on file and within requirements. Awaiting the Spend authorization from the vendor's team. Reminder set for Wednesday.</v>
      </c>
      <c r="K11" t="str">
        <f>VLOOKUP(Table9[[#This Row],[Company ID]],'[1]Coordinator Notes'!$B:$D,3,FALSE)</f>
        <v>Received</v>
      </c>
      <c r="L11" s="12" t="str">
        <f t="shared" si="0"/>
        <v>RECEIVED</v>
      </c>
      <c r="M11" s="26" t="b">
        <v>1</v>
      </c>
      <c r="N11" s="26" t="b">
        <v>1</v>
      </c>
      <c r="O11" s="26" t="b">
        <v>0</v>
      </c>
    </row>
    <row r="12" spans="1:15" ht="30" customHeight="1" x14ac:dyDescent="0.25">
      <c r="A12" t="s">
        <v>1073</v>
      </c>
      <c r="B12" s="2">
        <v>531290</v>
      </c>
      <c r="C12" t="s">
        <v>1098</v>
      </c>
      <c r="D12" s="1" t="s">
        <v>185</v>
      </c>
      <c r="E12" t="b">
        <v>1</v>
      </c>
      <c r="F12" s="4">
        <v>260200</v>
      </c>
      <c r="G12" t="s">
        <v>1099</v>
      </c>
      <c r="H12" t="s">
        <v>1100</v>
      </c>
      <c r="I12" s="1" t="s">
        <v>1101</v>
      </c>
      <c r="J12" s="21" t="str">
        <f>VLOOKUP(Table9[[#This Row],[Company ID]],'[1]Coordinator Notes'!$B:$C,2,FALSE)</f>
        <v>All three required documents were approved on first pass, the Spend authorization included. The Certificate of Insurance names the arena as additional insured, as required. Vendor is good to go.</v>
      </c>
      <c r="K12" t="str">
        <f>VLOOKUP(Table9[[#This Row],[Company ID]],'[1]Coordinator Notes'!$B:$D,3,FALSE)</f>
        <v>Completion</v>
      </c>
      <c r="L12" s="12" t="b">
        <f t="shared" si="0"/>
        <v>1</v>
      </c>
      <c r="M12" s="26" t="b">
        <v>1</v>
      </c>
      <c r="N12" s="26" t="b">
        <v>1</v>
      </c>
      <c r="O12" s="26" t="b">
        <v>1</v>
      </c>
    </row>
    <row r="13" spans="1:15" ht="30" customHeight="1" x14ac:dyDescent="0.25">
      <c r="A13" t="s">
        <v>1073</v>
      </c>
      <c r="B13" s="2">
        <v>184644</v>
      </c>
      <c r="C13" t="s">
        <v>1102</v>
      </c>
      <c r="D13" s="1" t="s">
        <v>206</v>
      </c>
      <c r="E13" t="b">
        <v>0</v>
      </c>
      <c r="F13" s="4">
        <v>169200</v>
      </c>
      <c r="G13" t="s">
        <v>807</v>
      </c>
      <c r="H13" t="s">
        <v>1103</v>
      </c>
      <c r="I13" s="1" t="s">
        <v>1104</v>
      </c>
      <c r="J13" s="21" t="str">
        <f>VLOOKUP(Table9[[#This Row],[Company ID]],'[1]Coordinator Notes'!$B:$C,2,FALSE)</f>
        <v>Received and accepted the W-9, closing out the packet. No exceptions in compliance review. Vendor status set to active.</v>
      </c>
      <c r="K13" t="str">
        <f>VLOOKUP(Table9[[#This Row],[Company ID]],'[1]Coordinator Notes'!$B:$D,3,FALSE)</f>
        <v>Completion</v>
      </c>
      <c r="L13" s="12" t="b">
        <f t="shared" si="0"/>
        <v>1</v>
      </c>
      <c r="M13" s="26" t="b">
        <v>1</v>
      </c>
      <c r="N13" s="26" t="b">
        <v>1</v>
      </c>
      <c r="O13" s="26" t="b">
        <v>1</v>
      </c>
    </row>
    <row r="14" spans="1:15" ht="30" customHeight="1" x14ac:dyDescent="0.25">
      <c r="A14" t="s">
        <v>1073</v>
      </c>
      <c r="B14" s="2">
        <v>727191</v>
      </c>
      <c r="C14" t="s">
        <v>1105</v>
      </c>
      <c r="D14" s="1" t="s">
        <v>206</v>
      </c>
      <c r="E14" t="b">
        <v>0</v>
      </c>
      <c r="F14" s="4">
        <v>154600</v>
      </c>
      <c r="G14" t="s">
        <v>727</v>
      </c>
      <c r="H14" t="s">
        <v>1106</v>
      </c>
      <c r="I14" s="1" t="s">
        <v>1107</v>
      </c>
      <c r="J14" s="21" t="str">
        <f>VLOOKUP(Table9[[#This Row],[Company ID]],'[1]Coordinator Notes'!$B:$C,2,FALSE)</f>
        <v>Received the COI and the W-9 through the portal today; the Spend authorization still pending. Contact acknowledged the request and is gathering the paperwork. Checking back Tuesday.</v>
      </c>
      <c r="K14" t="str">
        <f>VLOOKUP(Table9[[#This Row],[Company ID]],'[1]Coordinator Notes'!$B:$D,3,FALSE)</f>
        <v>Received</v>
      </c>
      <c r="L14" s="12" t="str">
        <f t="shared" si="0"/>
        <v>RECEIVED</v>
      </c>
      <c r="M14" s="26" t="b">
        <v>1</v>
      </c>
      <c r="N14" s="26" t="b">
        <v>1</v>
      </c>
      <c r="O14" s="26" t="b">
        <v>0</v>
      </c>
    </row>
    <row r="15" spans="1:15" ht="30" customHeight="1" x14ac:dyDescent="0.25">
      <c r="A15" t="s">
        <v>1073</v>
      </c>
      <c r="B15" s="2">
        <v>244411</v>
      </c>
      <c r="C15" t="s">
        <v>1108</v>
      </c>
      <c r="D15" s="1" t="s">
        <v>206</v>
      </c>
      <c r="E15" t="b">
        <v>0</v>
      </c>
      <c r="F15" s="4">
        <v>25400</v>
      </c>
      <c r="G15" t="s">
        <v>470</v>
      </c>
      <c r="H15" t="s">
        <v>384</v>
      </c>
      <c r="I15" s="1" t="s">
        <v>1109</v>
      </c>
      <c r="J15" s="21" t="str">
        <f>VLOOKUP(Table9[[#This Row],[Company ID]],'[1]Coordinator Notes'!$B:$C,2,FALSE)</f>
        <v>Progressing well: the COI accepted and logged. Outstanding item is the Spend authorization and the W-9, which the contact expects by Tuesday. Steady communication.</v>
      </c>
      <c r="K15" t="str">
        <f>VLOOKUP(Table9[[#This Row],[Company ID]],'[1]Coordinator Notes'!$B:$D,3,FALSE)</f>
        <v>Received</v>
      </c>
      <c r="L15" s="12" t="str">
        <f t="shared" si="0"/>
        <v>RECEIVED</v>
      </c>
      <c r="M15" s="26" t="b">
        <v>1</v>
      </c>
      <c r="N15" s="26" t="b">
        <v>0</v>
      </c>
      <c r="O15" s="26" t="b">
        <v>0</v>
      </c>
    </row>
    <row r="16" spans="1:15" ht="30" customHeight="1" x14ac:dyDescent="0.25">
      <c r="A16" t="s">
        <v>1073</v>
      </c>
      <c r="B16" s="2">
        <v>777043</v>
      </c>
      <c r="C16" t="s">
        <v>1110</v>
      </c>
      <c r="D16" s="1" t="s">
        <v>206</v>
      </c>
      <c r="E16" t="b">
        <v>0</v>
      </c>
      <c r="F16" s="4">
        <v>30800</v>
      </c>
      <c r="G16" t="s">
        <v>1111</v>
      </c>
      <c r="H16" t="s">
        <v>1112</v>
      </c>
      <c r="I16" s="1" t="s">
        <v>1113</v>
      </c>
      <c r="J16" s="21" t="str">
        <f>VLOOKUP(Table9[[#This Row],[Company ID]],'[1]Coordinator Notes'!$B:$C,2,FALSE)</f>
        <v>Replies are sporadic and often incomplete, slowing everything down. Still awaiting all required documents. Setting a firm deadline in the next message.</v>
      </c>
      <c r="K16" t="str">
        <f>VLOOKUP(Table9[[#This Row],[Company ID]],'[1]Coordinator Notes'!$B:$D,3,FALSE)</f>
        <v>Poor Communication</v>
      </c>
      <c r="L16" s="12" t="b">
        <f t="shared" si="0"/>
        <v>0</v>
      </c>
      <c r="M16" s="26" t="b">
        <v>0</v>
      </c>
      <c r="N16" s="26" t="b">
        <v>0</v>
      </c>
      <c r="O16" s="26" t="b">
        <v>0</v>
      </c>
    </row>
    <row r="17" spans="1:15" ht="30" customHeight="1" x14ac:dyDescent="0.25">
      <c r="A17" t="s">
        <v>1073</v>
      </c>
      <c r="B17" s="2">
        <v>990758</v>
      </c>
      <c r="C17" t="s">
        <v>1114</v>
      </c>
      <c r="D17" s="1" t="s">
        <v>206</v>
      </c>
      <c r="E17" t="b">
        <v>0</v>
      </c>
      <c r="F17" s="4">
        <v>244000</v>
      </c>
      <c r="G17" t="s">
        <v>1115</v>
      </c>
      <c r="H17" t="s">
        <v>1116</v>
      </c>
      <c r="I17" s="1" t="s">
        <v>1117</v>
      </c>
      <c r="J17" s="21" t="str">
        <f>VLOOKUP(Table9[[#This Row],[Company ID]],'[1]Coordinator Notes'!$B:$C,2,FALSE)</f>
        <v>All three required documents were approved on first pass, the Spend authorization included. The Certificate of Insurance names the arena as additional insured, as required. Vendor is good to go.</v>
      </c>
      <c r="K17" t="str">
        <f>VLOOKUP(Table9[[#This Row],[Company ID]],'[1]Coordinator Notes'!$B:$D,3,FALSE)</f>
        <v>Completion</v>
      </c>
      <c r="L17" s="12" t="b">
        <f t="shared" si="0"/>
        <v>1</v>
      </c>
      <c r="M17" s="26" t="b">
        <v>1</v>
      </c>
      <c r="N17" s="26" t="b">
        <v>1</v>
      </c>
      <c r="O17" s="26" t="b">
        <v>1</v>
      </c>
    </row>
    <row r="18" spans="1:15" ht="30" customHeight="1" x14ac:dyDescent="0.25">
      <c r="A18" t="s">
        <v>1073</v>
      </c>
      <c r="B18" s="2">
        <v>592873</v>
      </c>
      <c r="C18" t="s">
        <v>1118</v>
      </c>
      <c r="D18" s="1" t="s">
        <v>211</v>
      </c>
      <c r="E18" t="b">
        <v>0</v>
      </c>
      <c r="F18" s="4">
        <v>7800</v>
      </c>
      <c r="G18" t="s">
        <v>1119</v>
      </c>
      <c r="H18" t="s">
        <v>1120</v>
      </c>
      <c r="I18" s="1" t="s">
        <v>1121</v>
      </c>
      <c r="J18" s="21" t="str">
        <f>VLOOKUP(Table9[[#This Row],[Company ID]],'[1]Coordinator Notes'!$B:$C,2,FALSE)</f>
        <v>Onboarding finalized after a short verification call this Monday. Every document is signed, dated, and on file. Ready for service assignment.</v>
      </c>
      <c r="K18" t="str">
        <f>VLOOKUP(Table9[[#This Row],[Company ID]],'[1]Coordinator Notes'!$B:$D,3,FALSE)</f>
        <v>Completion</v>
      </c>
      <c r="L18" s="12" t="b">
        <f t="shared" si="0"/>
        <v>1</v>
      </c>
      <c r="M18" s="26" t="b">
        <v>1</v>
      </c>
      <c r="N18" s="26" t="b">
        <v>1</v>
      </c>
      <c r="O18" s="26" t="b">
        <v>1</v>
      </c>
    </row>
    <row r="19" spans="1:15" ht="30" customHeight="1" x14ac:dyDescent="0.25">
      <c r="A19" t="s">
        <v>1073</v>
      </c>
      <c r="B19" s="2">
        <v>708845</v>
      </c>
      <c r="C19" t="s">
        <v>1122</v>
      </c>
      <c r="D19" s="1" t="s">
        <v>211</v>
      </c>
      <c r="E19" t="b">
        <v>0</v>
      </c>
      <c r="F19" s="4">
        <v>8400</v>
      </c>
      <c r="G19" t="s">
        <v>1123</v>
      </c>
      <c r="H19" t="s">
        <v>501</v>
      </c>
      <c r="I19" s="1" t="s">
        <v>1124</v>
      </c>
      <c r="J19" s="21" t="str">
        <f>VLOOKUP(Table9[[#This Row],[Company ID]],'[1]Coordinator Notes'!$B:$C,2,FALSE)</f>
        <v>Contact uploaded the COI and the Spend authorization; the W-9 to follow once signed. Communication has been solid. Next check-in Monday.</v>
      </c>
      <c r="K19" t="str">
        <f>VLOOKUP(Table9[[#This Row],[Company ID]],'[1]Coordinator Notes'!$B:$D,3,FALSE)</f>
        <v>Received</v>
      </c>
      <c r="L19" s="12" t="str">
        <f t="shared" si="0"/>
        <v>RECEIVED</v>
      </c>
      <c r="M19" s="26" t="b">
        <v>1</v>
      </c>
      <c r="N19" s="26" t="b">
        <v>0</v>
      </c>
      <c r="O19" s="26" t="b">
        <v>1</v>
      </c>
    </row>
    <row r="20" spans="1:15" ht="30" customHeight="1" x14ac:dyDescent="0.25">
      <c r="A20" t="s">
        <v>1073</v>
      </c>
      <c r="B20" s="2">
        <v>779719</v>
      </c>
      <c r="C20" t="s">
        <v>1125</v>
      </c>
      <c r="D20" s="1" t="s">
        <v>211</v>
      </c>
      <c r="E20" t="b">
        <v>0</v>
      </c>
      <c r="F20" s="4">
        <v>99000</v>
      </c>
      <c r="G20" t="s">
        <v>864</v>
      </c>
      <c r="H20" t="s">
        <v>1126</v>
      </c>
      <c r="I20" s="1" t="s">
        <v>1127</v>
      </c>
      <c r="J20" s="21" t="str">
        <f>VLOOKUP(Table9[[#This Row],[Company ID]],'[1]Coordinator Notes'!$B:$C,2,FALSE)</f>
        <v>Full document set received and reconciled against the master vendor record; the Spend authorization needed a quick correction, now resolved. No further discrepancies found. Onboarding officially complete.</v>
      </c>
      <c r="K20" t="str">
        <f>VLOOKUP(Table9[[#This Row],[Company ID]],'[1]Coordinator Notes'!$B:$D,3,FALSE)</f>
        <v>Completion</v>
      </c>
      <c r="L20" s="12" t="b">
        <f t="shared" si="0"/>
        <v>1</v>
      </c>
      <c r="M20" s="26" t="b">
        <v>1</v>
      </c>
      <c r="N20" s="26" t="b">
        <v>1</v>
      </c>
      <c r="O20" s="26" t="b">
        <v>1</v>
      </c>
    </row>
    <row r="21" spans="1:15" ht="30" customHeight="1" x14ac:dyDescent="0.25">
      <c r="A21" t="s">
        <v>1073</v>
      </c>
      <c r="B21" s="2">
        <v>225939</v>
      </c>
      <c r="C21" t="s">
        <v>1128</v>
      </c>
      <c r="D21" s="1" t="s">
        <v>211</v>
      </c>
      <c r="E21" t="b">
        <v>0</v>
      </c>
      <c r="F21" s="4">
        <v>98000</v>
      </c>
      <c r="G21" t="s">
        <v>1129</v>
      </c>
      <c r="H21" t="s">
        <v>1130</v>
      </c>
      <c r="I21" s="1" t="s">
        <v>1131</v>
      </c>
      <c r="J21" s="21" t="str">
        <f>VLOOKUP(Table9[[#This Row],[Company ID]],'[1]Coordinator Notes'!$B:$C,2,FALSE)</f>
        <v>Received the COI and the W-9 through the portal today; the Spend authorization still pending. Contact acknowledged the request and is gathering the paperwork. Checking back Tuesday.</v>
      </c>
      <c r="K21" t="str">
        <f>VLOOKUP(Table9[[#This Row],[Company ID]],'[1]Coordinator Notes'!$B:$D,3,FALSE)</f>
        <v>Received</v>
      </c>
      <c r="L21" s="12" t="str">
        <f t="shared" si="0"/>
        <v>RECEIVED</v>
      </c>
      <c r="M21" s="26" t="b">
        <v>0</v>
      </c>
      <c r="N21" s="26" t="b">
        <v>1</v>
      </c>
      <c r="O21" s="26" t="b">
        <v>0</v>
      </c>
    </row>
    <row r="22" spans="1:15" ht="30" customHeight="1" x14ac:dyDescent="0.25">
      <c r="A22" t="s">
        <v>1073</v>
      </c>
      <c r="B22" s="2">
        <v>249330</v>
      </c>
      <c r="C22" t="s">
        <v>1132</v>
      </c>
      <c r="D22" s="1" t="s">
        <v>520</v>
      </c>
      <c r="E22" t="b">
        <v>0</v>
      </c>
      <c r="F22" s="4">
        <v>52100</v>
      </c>
      <c r="G22" t="s">
        <v>1133</v>
      </c>
      <c r="H22" t="s">
        <v>1134</v>
      </c>
      <c r="I22" s="1" t="s">
        <v>1135</v>
      </c>
      <c r="J22" s="21" t="str">
        <f>VLOOKUP(Table9[[#This Row],[Company ID]],'[1]Coordinator Notes'!$B:$C,2,FALSE)</f>
        <v>Full document set received and reconciled against the master vendor record; the COI needed a quick correction, now resolved. No further discrepancies found. Onboarding officially complete.</v>
      </c>
      <c r="K22" t="str">
        <f>VLOOKUP(Table9[[#This Row],[Company ID]],'[1]Coordinator Notes'!$B:$D,3,FALSE)</f>
        <v>Completion</v>
      </c>
      <c r="L22" s="12" t="b">
        <f t="shared" si="0"/>
        <v>1</v>
      </c>
      <c r="M22" s="26" t="b">
        <v>1</v>
      </c>
      <c r="N22" s="26" t="b">
        <v>1</v>
      </c>
      <c r="O22" s="26" t="b">
        <v>1</v>
      </c>
    </row>
    <row r="23" spans="1:15" ht="30" customHeight="1" x14ac:dyDescent="0.25">
      <c r="A23" t="s">
        <v>1073</v>
      </c>
      <c r="B23" s="2">
        <v>317040</v>
      </c>
      <c r="C23" t="s">
        <v>1136</v>
      </c>
      <c r="D23" s="1" t="s">
        <v>520</v>
      </c>
      <c r="E23" t="b">
        <v>0</v>
      </c>
      <c r="F23" s="4">
        <v>59600</v>
      </c>
      <c r="G23" t="s">
        <v>1137</v>
      </c>
      <c r="H23" t="s">
        <v>1138</v>
      </c>
      <c r="I23" s="1" t="s">
        <v>1139</v>
      </c>
      <c r="J23" s="21" t="str">
        <f>VLOOKUP(Table9[[#This Row],[Company ID]],'[1]Coordinator Notes'!$B:$C,2,FALSE)</f>
        <v>The spend authorization was the last piece and it cleared review this Tuesday. COI, W-9, and Spend authorization are all validated. Vendor activated and notified.</v>
      </c>
      <c r="K23" t="str">
        <f>VLOOKUP(Table9[[#This Row],[Company ID]],'[1]Coordinator Notes'!$B:$D,3,FALSE)</f>
        <v>Completion</v>
      </c>
      <c r="L23" s="12" t="b">
        <f t="shared" si="0"/>
        <v>1</v>
      </c>
      <c r="M23" s="26" t="b">
        <v>1</v>
      </c>
      <c r="N23" s="26" t="b">
        <v>1</v>
      </c>
      <c r="O23" s="26" t="b">
        <v>1</v>
      </c>
    </row>
    <row r="24" spans="1:15" ht="30" customHeight="1" x14ac:dyDescent="0.25">
      <c r="A24" t="s">
        <v>1073</v>
      </c>
      <c r="B24" s="2">
        <v>199159</v>
      </c>
      <c r="C24" t="s">
        <v>1140</v>
      </c>
      <c r="D24" s="1" t="s">
        <v>520</v>
      </c>
      <c r="E24" t="b">
        <v>0</v>
      </c>
      <c r="F24" s="4">
        <v>47900</v>
      </c>
      <c r="G24" t="s">
        <v>1141</v>
      </c>
      <c r="H24" t="s">
        <v>1142</v>
      </c>
      <c r="I24" s="1" t="s">
        <v>1143</v>
      </c>
      <c r="J24" s="21" t="str">
        <f>VLOOKUP(Table9[[#This Row],[Company ID]],'[1]Coordinator Notes'!$B:$C,2,FALSE)</f>
        <v>The spend authorization pushed back owing to an insurance renewal still in process. The rest of the packet is fine. Expecting resolution by Wednesday.</v>
      </c>
      <c r="K24" t="str">
        <f>VLOOKUP(Table9[[#This Row],[Company ID]],'[1]Coordinator Notes'!$B:$D,3,FALSE)</f>
        <v>Delayed</v>
      </c>
      <c r="L24" s="12" t="b">
        <f t="shared" si="0"/>
        <v>0</v>
      </c>
      <c r="M24" s="26" t="b">
        <v>0</v>
      </c>
      <c r="N24" s="26" t="b">
        <v>0</v>
      </c>
      <c r="O24" s="26" t="b">
        <v>0</v>
      </c>
    </row>
    <row r="25" spans="1:15" ht="30" customHeight="1" x14ac:dyDescent="0.25">
      <c r="A25" t="s">
        <v>1073</v>
      </c>
      <c r="B25" s="2">
        <v>469046</v>
      </c>
      <c r="C25" t="s">
        <v>1144</v>
      </c>
      <c r="D25" s="1" t="s">
        <v>520</v>
      </c>
      <c r="E25" t="b">
        <v>0</v>
      </c>
      <c r="F25" s="4">
        <v>7900</v>
      </c>
      <c r="G25" t="s">
        <v>1145</v>
      </c>
      <c r="H25" t="s">
        <v>628</v>
      </c>
      <c r="I25" s="1" t="s">
        <v>1146</v>
      </c>
      <c r="J25" s="21" t="str">
        <f>VLOOKUP(Table9[[#This Row],[Company ID]],'[1]Coordinator Notes'!$B:$C,2,FALSE)</f>
        <v>All three required documents were approved on first pass, the Spend authorization included. The Certificate of Insurance names the arena as additional insured, as required. Vendor is good to go.</v>
      </c>
      <c r="K25" t="str">
        <f>VLOOKUP(Table9[[#This Row],[Company ID]],'[1]Coordinator Notes'!$B:$D,3,FALSE)</f>
        <v>Completion</v>
      </c>
      <c r="L25" s="12" t="b">
        <f t="shared" si="0"/>
        <v>1</v>
      </c>
      <c r="M25" s="26" t="b">
        <v>1</v>
      </c>
      <c r="N25" s="26" t="b">
        <v>1</v>
      </c>
      <c r="O25" s="26" t="b">
        <v>1</v>
      </c>
    </row>
    <row r="26" spans="1:15" ht="30" customHeight="1" x14ac:dyDescent="0.25">
      <c r="A26" t="s">
        <v>1073</v>
      </c>
      <c r="B26" s="2">
        <v>638535</v>
      </c>
      <c r="C26" t="s">
        <v>1147</v>
      </c>
      <c r="D26" s="1" t="s">
        <v>419</v>
      </c>
      <c r="E26" t="b">
        <v>0</v>
      </c>
      <c r="F26" s="4">
        <v>89800</v>
      </c>
      <c r="G26" t="s">
        <v>1148</v>
      </c>
      <c r="H26" t="s">
        <v>1149</v>
      </c>
      <c r="I26" s="1" t="s">
        <v>1150</v>
      </c>
      <c r="J26" s="21" t="str">
        <f>VLOOKUP(Table9[[#This Row],[Company ID]],'[1]Coordinator Notes'!$B:$C,2,FALSE)</f>
        <v>Confirmed all required paperwork on file once the Spend authorization came through the portal. Insurance limits and tax details verified. Onboarding closed out.</v>
      </c>
      <c r="K26" t="str">
        <f>VLOOKUP(Table9[[#This Row],[Company ID]],'[1]Coordinator Notes'!$B:$D,3,FALSE)</f>
        <v>Completion</v>
      </c>
      <c r="L26" s="12" t="b">
        <f t="shared" si="0"/>
        <v>1</v>
      </c>
      <c r="M26" s="26" t="b">
        <v>1</v>
      </c>
      <c r="N26" s="26" t="b">
        <v>1</v>
      </c>
      <c r="O26" s="26" t="b">
        <v>1</v>
      </c>
    </row>
    <row r="27" spans="1:15" ht="30" customHeight="1" x14ac:dyDescent="0.25">
      <c r="A27" t="s">
        <v>1073</v>
      </c>
      <c r="B27" s="2">
        <v>401572</v>
      </c>
      <c r="C27" t="s">
        <v>1151</v>
      </c>
      <c r="D27" s="1" t="s">
        <v>419</v>
      </c>
      <c r="E27" t="b">
        <v>0</v>
      </c>
      <c r="F27" s="4">
        <v>113700</v>
      </c>
      <c r="G27" t="s">
        <v>1152</v>
      </c>
      <c r="H27" t="s">
        <v>1153</v>
      </c>
      <c r="I27" s="1" t="s">
        <v>1154</v>
      </c>
      <c r="J27" s="21" t="str">
        <f>VLOOKUP(Table9[[#This Row],[Company ID]],'[1]Coordinator Notes'!$B:$C,2,FALSE)</f>
        <v>Contact uploaded the W-9 and the Spend authorization; the COI to follow once signed. Communication has been solid. Next check-in Friday.</v>
      </c>
      <c r="K27" t="str">
        <f>VLOOKUP(Table9[[#This Row],[Company ID]],'[1]Coordinator Notes'!$B:$D,3,FALSE)</f>
        <v>Received</v>
      </c>
      <c r="L27" s="12" t="str">
        <f t="shared" si="0"/>
        <v>RECEIVED</v>
      </c>
      <c r="M27" s="26" t="b">
        <v>0</v>
      </c>
      <c r="N27" s="26" t="b">
        <v>1</v>
      </c>
      <c r="O27" s="26" t="b">
        <v>1</v>
      </c>
    </row>
    <row r="28" spans="1:15" ht="30" customHeight="1" x14ac:dyDescent="0.25">
      <c r="A28" t="s">
        <v>1073</v>
      </c>
      <c r="B28" s="2">
        <v>851215</v>
      </c>
      <c r="C28" t="s">
        <v>1155</v>
      </c>
      <c r="D28" s="1" t="s">
        <v>419</v>
      </c>
      <c r="E28" t="b">
        <v>0</v>
      </c>
      <c r="F28" s="4">
        <v>104200</v>
      </c>
      <c r="G28" t="s">
        <v>1156</v>
      </c>
      <c r="H28" t="s">
        <v>1157</v>
      </c>
      <c r="I28" s="1" t="s">
        <v>1158</v>
      </c>
      <c r="J28" s="21" t="str">
        <f>VLOOKUP(Table9[[#This Row],[Company ID]],'[1]Coordinator Notes'!$B:$C,2,FALSE)</f>
        <v>First batch received: the W-9 logged and approved. Still awaiting the Spend authorization and the COI. Contact committed to finishing by Tuesday.</v>
      </c>
      <c r="K28" t="str">
        <f>VLOOKUP(Table9[[#This Row],[Company ID]],'[1]Coordinator Notes'!$B:$D,3,FALSE)</f>
        <v>Received</v>
      </c>
      <c r="L28" s="12" t="str">
        <f t="shared" si="0"/>
        <v>RECEIVED</v>
      </c>
      <c r="M28" s="26" t="b">
        <v>0</v>
      </c>
      <c r="N28" s="26" t="b">
        <v>1</v>
      </c>
      <c r="O28" s="26" t="b">
        <v>0</v>
      </c>
    </row>
    <row r="29" spans="1:15" ht="30" customHeight="1" x14ac:dyDescent="0.25">
      <c r="A29" t="s">
        <v>1073</v>
      </c>
      <c r="B29" s="2">
        <v>222104</v>
      </c>
      <c r="C29" t="s">
        <v>1159</v>
      </c>
      <c r="D29" s="1" t="s">
        <v>419</v>
      </c>
      <c r="E29" t="b">
        <v>0</v>
      </c>
      <c r="F29" s="4">
        <v>117400</v>
      </c>
      <c r="G29" t="s">
        <v>1160</v>
      </c>
      <c r="H29" t="s">
        <v>1161</v>
      </c>
      <c r="I29" s="1" t="s">
        <v>1162</v>
      </c>
      <c r="J29" s="21" t="str">
        <f>VLOOKUP(Table9[[#This Row],[Company ID]],'[1]Coordinator Notes'!$B:$C,2,FALSE)</f>
        <v>The coi pushed back owing to the contact's finance lead is out on PTO. The rest of the packet is fine. Expecting resolution by Tuesday.</v>
      </c>
      <c r="K29" t="str">
        <f>VLOOKUP(Table9[[#This Row],[Company ID]],'[1]Coordinator Notes'!$B:$D,3,FALSE)</f>
        <v>Delayed</v>
      </c>
      <c r="L29" s="12" t="b">
        <f t="shared" si="0"/>
        <v>0</v>
      </c>
      <c r="M29" s="26" t="b">
        <v>0</v>
      </c>
      <c r="N29" s="26" t="b">
        <v>0</v>
      </c>
      <c r="O29" s="26" t="b">
        <v>0</v>
      </c>
    </row>
    <row r="30" spans="1:15" ht="30" customHeight="1" x14ac:dyDescent="0.25">
      <c r="A30" t="s">
        <v>1073</v>
      </c>
      <c r="B30" s="2">
        <v>550268</v>
      </c>
      <c r="C30" t="s">
        <v>1163</v>
      </c>
      <c r="D30" s="1" t="s">
        <v>419</v>
      </c>
      <c r="E30" t="b">
        <v>0</v>
      </c>
      <c r="F30" s="4">
        <v>10100</v>
      </c>
      <c r="G30" t="s">
        <v>1164</v>
      </c>
      <c r="H30" t="s">
        <v>1165</v>
      </c>
      <c r="I30" s="1" t="s">
        <v>1166</v>
      </c>
      <c r="J30" s="21" t="str">
        <f>VLOOKUP(Table9[[#This Row],[Company ID]],'[1]Coordinator Notes'!$B:$C,2,FALSE)</f>
        <v>Everything is in — the Spend authorization arrived this Friday and matched our records. Contact was proactive throughout. Onboarding complete.</v>
      </c>
      <c r="K30" t="str">
        <f>VLOOKUP(Table9[[#This Row],[Company ID]],'[1]Coordinator Notes'!$B:$D,3,FALSE)</f>
        <v>Completion</v>
      </c>
      <c r="L30" s="12" t="b">
        <f t="shared" si="0"/>
        <v>1</v>
      </c>
      <c r="M30" s="26" t="b">
        <v>1</v>
      </c>
      <c r="N30" s="26" t="b">
        <v>1</v>
      </c>
      <c r="O30" s="26" t="b">
        <v>1</v>
      </c>
    </row>
    <row r="31" spans="1:15" ht="30" customHeight="1" x14ac:dyDescent="0.25">
      <c r="A31" t="s">
        <v>1073</v>
      </c>
      <c r="B31" s="2">
        <v>227940</v>
      </c>
      <c r="C31" t="s">
        <v>1167</v>
      </c>
      <c r="D31" s="1" t="s">
        <v>419</v>
      </c>
      <c r="E31" t="b">
        <v>0</v>
      </c>
      <c r="F31" s="4">
        <v>44500</v>
      </c>
      <c r="G31" t="s">
        <v>1168</v>
      </c>
      <c r="H31" t="s">
        <v>1169</v>
      </c>
      <c r="I31" s="1" t="s">
        <v>1170</v>
      </c>
      <c r="J31" s="21" t="str">
        <f>VLOOKUP(Table9[[#This Row],[Company ID]],'[1]Coordinator Notes'!$B:$C,2,FALSE)</f>
        <v>Progressing well: the Spend authorization accepted and logged. Outstanding item is the COI and the W-9, which the contact expects by Wednesday. Steady communication.</v>
      </c>
      <c r="K31" t="str">
        <f>VLOOKUP(Table9[[#This Row],[Company ID]],'[1]Coordinator Notes'!$B:$D,3,FALSE)</f>
        <v>Received</v>
      </c>
      <c r="L31" s="12" t="str">
        <f t="shared" si="0"/>
        <v>RECEIVED</v>
      </c>
      <c r="M31" s="26" t="b">
        <v>0</v>
      </c>
      <c r="N31" s="26" t="b">
        <v>0</v>
      </c>
      <c r="O31" s="26" t="b">
        <v>1</v>
      </c>
    </row>
    <row r="32" spans="1:15" ht="30" customHeight="1" x14ac:dyDescent="0.25">
      <c r="A32" t="s">
        <v>1073</v>
      </c>
      <c r="B32" s="2">
        <v>100224</v>
      </c>
      <c r="C32" t="s">
        <v>1171</v>
      </c>
      <c r="D32" s="1" t="s">
        <v>419</v>
      </c>
      <c r="E32" t="b">
        <v>0</v>
      </c>
      <c r="F32" s="4">
        <v>22300</v>
      </c>
      <c r="G32" t="s">
        <v>1141</v>
      </c>
      <c r="H32" t="s">
        <v>1172</v>
      </c>
      <c r="I32" s="1" t="s">
        <v>1173</v>
      </c>
      <c r="J32" s="21" t="str">
        <f>VLOOKUP(Table9[[#This Row],[Company ID]],'[1]Coordinator Notes'!$B:$C,2,FALSE)</f>
        <v>The spend authorization received and verified; the COI and the W-9 still outstanding. Contact confirmed the remainder will be submitted by Thursday. Following up then.</v>
      </c>
      <c r="K32" t="str">
        <f>VLOOKUP(Table9[[#This Row],[Company ID]],'[1]Coordinator Notes'!$B:$D,3,FALSE)</f>
        <v>Received</v>
      </c>
      <c r="L32" s="12" t="str">
        <f t="shared" si="0"/>
        <v>RECEIVED</v>
      </c>
      <c r="M32" s="26" t="b">
        <v>0</v>
      </c>
      <c r="N32" s="26" t="b">
        <v>0</v>
      </c>
      <c r="O32" s="26" t="b">
        <v>1</v>
      </c>
    </row>
    <row r="33" spans="1:15" ht="30" customHeight="1" x14ac:dyDescent="0.25">
      <c r="A33" t="s">
        <v>1073</v>
      </c>
      <c r="B33" s="2">
        <v>207622</v>
      </c>
      <c r="C33" t="s">
        <v>1174</v>
      </c>
      <c r="D33" s="1" t="s">
        <v>216</v>
      </c>
      <c r="E33" t="b">
        <v>0</v>
      </c>
      <c r="F33" s="4">
        <v>23500</v>
      </c>
      <c r="G33" t="s">
        <v>1175</v>
      </c>
      <c r="H33" t="s">
        <v>1176</v>
      </c>
      <c r="I33" s="1" t="s">
        <v>1177</v>
      </c>
      <c r="J33" s="21" t="str">
        <f>VLOOKUP(Table9[[#This Row],[Company ID]],'[1]Coordinator Notes'!$B:$C,2,FALSE)</f>
        <v>All onboarding documents — COI, W-9, and Spend authorization — are received and verified, with the COI arriving last. Compliance review passed with no exceptions. Vendor is fully onboarded and cleared for service.</v>
      </c>
      <c r="K33" t="str">
        <f>VLOOKUP(Table9[[#This Row],[Company ID]],'[1]Coordinator Notes'!$B:$D,3,FALSE)</f>
        <v>Completion</v>
      </c>
      <c r="L33" s="12" t="b">
        <f t="shared" si="0"/>
        <v>1</v>
      </c>
      <c r="M33" s="26" t="b">
        <v>1</v>
      </c>
      <c r="N33" s="26" t="b">
        <v>1</v>
      </c>
      <c r="O33" s="26" t="b">
        <v>1</v>
      </c>
    </row>
    <row r="34" spans="1:15" ht="30" customHeight="1" x14ac:dyDescent="0.25">
      <c r="A34" t="s">
        <v>1073</v>
      </c>
      <c r="B34" s="2">
        <v>751243</v>
      </c>
      <c r="C34" t="s">
        <v>1178</v>
      </c>
      <c r="D34" s="1" t="s">
        <v>216</v>
      </c>
      <c r="E34" t="b">
        <v>0</v>
      </c>
      <c r="F34" s="4">
        <v>41300</v>
      </c>
      <c r="G34" t="s">
        <v>1179</v>
      </c>
      <c r="H34" t="s">
        <v>1180</v>
      </c>
      <c r="I34" s="1" t="s">
        <v>1181</v>
      </c>
      <c r="J34" s="21" t="str">
        <f>VLOOKUP(Table9[[#This Row],[Company ID]],'[1]Coordinator Notes'!$B:$C,2,FALSE)</f>
        <v>All onboarding documents — COI, W-9, and Spend authorization — are received and verified, with the Spend authorization arriving last. Compliance review passed with no exceptions. Vendor is fully onboarded and cleared for service.</v>
      </c>
      <c r="K34" t="str">
        <f>VLOOKUP(Table9[[#This Row],[Company ID]],'[1]Coordinator Notes'!$B:$D,3,FALSE)</f>
        <v>Completion</v>
      </c>
      <c r="L34" s="12" t="b">
        <f t="shared" si="0"/>
        <v>1</v>
      </c>
      <c r="M34" s="26" t="b">
        <v>1</v>
      </c>
      <c r="N34" s="26" t="b">
        <v>1</v>
      </c>
      <c r="O34" s="26" t="b">
        <v>1</v>
      </c>
    </row>
    <row r="35" spans="1:15" ht="30" customHeight="1" x14ac:dyDescent="0.25">
      <c r="A35" t="s">
        <v>1073</v>
      </c>
      <c r="B35" s="2">
        <v>126824</v>
      </c>
      <c r="C35" t="s">
        <v>1182</v>
      </c>
      <c r="D35" s="1" t="s">
        <v>216</v>
      </c>
      <c r="E35" t="b">
        <v>0</v>
      </c>
      <c r="F35" s="4">
        <v>33900</v>
      </c>
      <c r="G35" t="s">
        <v>1183</v>
      </c>
      <c r="H35" t="s">
        <v>1184</v>
      </c>
      <c r="I35" s="1" t="s">
        <v>1185</v>
      </c>
      <c r="J35" s="21" t="str">
        <f>VLOOKUP(Table9[[#This Row],[Company ID]],'[1]Coordinator Notes'!$B:$C,2,FALSE)</f>
        <v>The spend authorization pushed back owing to a legal entity name change working through their system. The rest of the packet is fine. Expecting resolution by Tuesday.</v>
      </c>
      <c r="K35" t="str">
        <f>VLOOKUP(Table9[[#This Row],[Company ID]],'[1]Coordinator Notes'!$B:$D,3,FALSE)</f>
        <v>Delayed</v>
      </c>
      <c r="L35" s="12" t="b">
        <f t="shared" si="0"/>
        <v>0</v>
      </c>
      <c r="M35" s="26" t="b">
        <v>0</v>
      </c>
      <c r="N35" s="26" t="b">
        <v>0</v>
      </c>
      <c r="O35" s="26" t="b">
        <v>0</v>
      </c>
    </row>
    <row r="36" spans="1:15" ht="30" customHeight="1" x14ac:dyDescent="0.25">
      <c r="A36" t="s">
        <v>1073</v>
      </c>
      <c r="B36" s="2">
        <v>951340</v>
      </c>
      <c r="C36" t="s">
        <v>1186</v>
      </c>
      <c r="D36" s="1" t="s">
        <v>221</v>
      </c>
      <c r="E36" t="b">
        <v>0</v>
      </c>
      <c r="F36" s="4">
        <v>1400</v>
      </c>
      <c r="G36" t="s">
        <v>1187</v>
      </c>
      <c r="H36" t="s">
        <v>1188</v>
      </c>
      <c r="I36" s="1" t="s">
        <v>1189</v>
      </c>
      <c r="J36" s="21" t="str">
        <f>VLOOKUP(Table9[[#This Row],[Company ID]],'[1]Coordinator Notes'!$B:$C,2,FALSE)</f>
        <v>Contact delivered the COI ahead of the deadline, completing the packet. Coverage and W-9 details confirmed current. Cleared for daily operations support.</v>
      </c>
      <c r="K36" t="str">
        <f>VLOOKUP(Table9[[#This Row],[Company ID]],'[1]Coordinator Notes'!$B:$D,3,FALSE)</f>
        <v>Completion</v>
      </c>
      <c r="L36" s="12" t="b">
        <f t="shared" si="0"/>
        <v>1</v>
      </c>
      <c r="M36" s="26" t="b">
        <v>1</v>
      </c>
      <c r="N36" s="26" t="b">
        <v>1</v>
      </c>
      <c r="O36" s="26" t="b">
        <v>1</v>
      </c>
    </row>
    <row r="37" spans="1:15" ht="30" customHeight="1" x14ac:dyDescent="0.25">
      <c r="A37" t="s">
        <v>1073</v>
      </c>
      <c r="B37" s="2">
        <v>501798</v>
      </c>
      <c r="C37" t="s">
        <v>1190</v>
      </c>
      <c r="D37" s="1" t="s">
        <v>221</v>
      </c>
      <c r="E37" t="b">
        <v>0</v>
      </c>
      <c r="F37" s="4">
        <v>13700</v>
      </c>
      <c r="G37" t="s">
        <v>1191</v>
      </c>
      <c r="H37" t="s">
        <v>1192</v>
      </c>
      <c r="I37" s="1" t="s">
        <v>1193</v>
      </c>
      <c r="J37" s="21" t="str">
        <f>VLOOKUP(Table9[[#This Row],[Company ID]],'[1]Coordinator Notes'!$B:$C,2,FALSE)</f>
        <v>Contact uploaded the COI and the W-9; the Spend authorization to follow once signed. Communication has been solid. Next check-in Friday.</v>
      </c>
      <c r="K37" t="str">
        <f>VLOOKUP(Table9[[#This Row],[Company ID]],'[1]Coordinator Notes'!$B:$D,3,FALSE)</f>
        <v>Received</v>
      </c>
      <c r="L37" s="12" t="str">
        <f t="shared" si="0"/>
        <v>RECEIVED</v>
      </c>
      <c r="M37" s="26" t="b">
        <v>1</v>
      </c>
      <c r="N37" s="26" t="b">
        <v>1</v>
      </c>
      <c r="O37" s="26" t="b">
        <v>0</v>
      </c>
    </row>
    <row r="38" spans="1:15" ht="30" customHeight="1" x14ac:dyDescent="0.25">
      <c r="A38" t="s">
        <v>1073</v>
      </c>
      <c r="B38" s="2">
        <v>921364</v>
      </c>
      <c r="C38" t="s">
        <v>1194</v>
      </c>
      <c r="D38" s="1" t="s">
        <v>221</v>
      </c>
      <c r="E38" t="b">
        <v>0</v>
      </c>
      <c r="F38" s="4">
        <v>8300</v>
      </c>
      <c r="G38" t="s">
        <v>1195</v>
      </c>
      <c r="H38" t="s">
        <v>1196</v>
      </c>
      <c r="I38" s="1" t="s">
        <v>1197</v>
      </c>
      <c r="J38" s="21" t="str">
        <f>VLOOKUP(Table9[[#This Row],[Company ID]],'[1]Coordinator Notes'!$B:$C,2,FALSE)</f>
        <v>Partial packet in — the W-9 and the Spend authorization on file and within requirements. Awaiting the COI from the vendor's team. Reminder set for Monday.</v>
      </c>
      <c r="K38" t="str">
        <f>VLOOKUP(Table9[[#This Row],[Company ID]],'[1]Coordinator Notes'!$B:$D,3,FALSE)</f>
        <v>Received</v>
      </c>
      <c r="L38" s="12" t="str">
        <f t="shared" ref="L38:L58" si="1">IF(COUNTIF(M38:O38, TRUE) =3,TRUE, IF(COUNTIF(M38:O38,TRUE)&gt;=1,"RECEIVED", FALSE))</f>
        <v>RECEIVED</v>
      </c>
      <c r="M38" s="26" t="b">
        <v>0</v>
      </c>
      <c r="N38" s="26" t="b">
        <v>1</v>
      </c>
      <c r="O38" s="26" t="b">
        <v>1</v>
      </c>
    </row>
    <row r="39" spans="1:15" ht="30" customHeight="1" x14ac:dyDescent="0.25">
      <c r="A39" t="s">
        <v>1073</v>
      </c>
      <c r="B39" s="2">
        <v>477420</v>
      </c>
      <c r="C39" t="s">
        <v>1198</v>
      </c>
      <c r="D39" s="1" t="s">
        <v>432</v>
      </c>
      <c r="E39" t="b">
        <v>0</v>
      </c>
      <c r="F39" s="4">
        <v>160200</v>
      </c>
      <c r="G39" t="s">
        <v>1199</v>
      </c>
      <c r="H39" t="s">
        <v>1200</v>
      </c>
      <c r="I39" s="1" t="s">
        <v>1201</v>
      </c>
      <c r="J39" s="21" t="str">
        <f>VLOOKUP(Table9[[#This Row],[Company ID]],'[1]Coordinator Notes'!$B:$C,2,FALSE)</f>
        <v>Contact uploaded the COI and the Spend authorization; the W-9 to follow once signed. Communication has been solid. Next check-in Thursday.</v>
      </c>
      <c r="K39" t="str">
        <f>VLOOKUP(Table9[[#This Row],[Company ID]],'[1]Coordinator Notes'!$B:$D,3,FALSE)</f>
        <v>Received</v>
      </c>
      <c r="L39" s="12" t="str">
        <f t="shared" si="1"/>
        <v>RECEIVED</v>
      </c>
      <c r="M39" s="26" t="b">
        <v>1</v>
      </c>
      <c r="N39" s="26" t="b">
        <v>0</v>
      </c>
      <c r="O39" s="26" t="b">
        <v>1</v>
      </c>
    </row>
    <row r="40" spans="1:15" ht="30" customHeight="1" x14ac:dyDescent="0.25">
      <c r="A40" t="s">
        <v>1073</v>
      </c>
      <c r="B40" s="2">
        <v>826187</v>
      </c>
      <c r="C40" t="s">
        <v>1202</v>
      </c>
      <c r="D40" s="1" t="s">
        <v>432</v>
      </c>
      <c r="E40" t="b">
        <v>0</v>
      </c>
      <c r="F40" s="4">
        <v>30600</v>
      </c>
      <c r="G40" t="s">
        <v>1203</v>
      </c>
      <c r="H40" t="s">
        <v>1204</v>
      </c>
      <c r="I40" s="1" t="s">
        <v>1205</v>
      </c>
      <c r="J40" s="21" t="str">
        <f>VLOOKUP(Table9[[#This Row],[Company ID]],'[1]Coordinator Notes'!$B:$C,2,FALSE)</f>
        <v>Partial packet in — the COI and the W-9 on file and within requirements. Awaiting the Spend authorization from the vendor's team. Reminder set for Tuesday.</v>
      </c>
      <c r="K40" t="str">
        <f>VLOOKUP(Table9[[#This Row],[Company ID]],'[1]Coordinator Notes'!$B:$D,3,FALSE)</f>
        <v>Received</v>
      </c>
      <c r="L40" s="12" t="str">
        <f t="shared" si="1"/>
        <v>RECEIVED</v>
      </c>
      <c r="M40" s="26" t="b">
        <v>1</v>
      </c>
      <c r="N40" s="26" t="b">
        <v>1</v>
      </c>
      <c r="O40" s="26" t="b">
        <v>0</v>
      </c>
    </row>
    <row r="41" spans="1:15" ht="30" customHeight="1" x14ac:dyDescent="0.25">
      <c r="A41" t="s">
        <v>1073</v>
      </c>
      <c r="B41" s="2">
        <v>387134</v>
      </c>
      <c r="C41" t="s">
        <v>1206</v>
      </c>
      <c r="D41" s="1" t="s">
        <v>432</v>
      </c>
      <c r="E41" t="b">
        <v>0</v>
      </c>
      <c r="F41" s="4">
        <v>89800</v>
      </c>
      <c r="G41" t="s">
        <v>1148</v>
      </c>
      <c r="H41" t="s">
        <v>1207</v>
      </c>
      <c r="I41" s="1" t="s">
        <v>1208</v>
      </c>
      <c r="J41" s="21" t="str">
        <f>VLOOKUP(Table9[[#This Row],[Company ID]],'[1]Coordinator Notes'!$B:$C,2,FALSE)</f>
        <v>Progressing well: the COI accepted and logged. Outstanding item is the Spend authorization and the W-9, which the contact expects by next week. Steady communication.</v>
      </c>
      <c r="K41" t="str">
        <f>VLOOKUP(Table9[[#This Row],[Company ID]],'[1]Coordinator Notes'!$B:$D,3,FALSE)</f>
        <v>Received</v>
      </c>
      <c r="L41" s="12" t="str">
        <f t="shared" si="1"/>
        <v>RECEIVED</v>
      </c>
      <c r="M41" s="26" t="b">
        <v>1</v>
      </c>
      <c r="N41" s="26" t="b">
        <v>0</v>
      </c>
      <c r="O41" s="26" t="b">
        <v>0</v>
      </c>
    </row>
    <row r="42" spans="1:15" ht="30" customHeight="1" x14ac:dyDescent="0.25">
      <c r="A42" t="s">
        <v>1073</v>
      </c>
      <c r="B42" s="2">
        <v>235265</v>
      </c>
      <c r="C42" t="s">
        <v>1209</v>
      </c>
      <c r="D42" s="1" t="s">
        <v>437</v>
      </c>
      <c r="E42" t="b">
        <v>0</v>
      </c>
      <c r="F42" s="4">
        <v>31800</v>
      </c>
      <c r="G42" t="s">
        <v>1210</v>
      </c>
      <c r="H42" t="s">
        <v>1211</v>
      </c>
      <c r="I42" s="1" t="s">
        <v>1212</v>
      </c>
      <c r="J42" s="21" t="str">
        <f>VLOOKUP(Table9[[#This Row],[Company ID]],'[1]Coordinator Notes'!$B:$C,2,FALSE)</f>
        <v>Received and accepted the W-9, closing out the packet. No exceptions in compliance review. Vendor status set to active.</v>
      </c>
      <c r="K42" t="str">
        <f>VLOOKUP(Table9[[#This Row],[Company ID]],'[1]Coordinator Notes'!$B:$D,3,FALSE)</f>
        <v>Completion</v>
      </c>
      <c r="L42" s="12" t="b">
        <f t="shared" si="1"/>
        <v>1</v>
      </c>
      <c r="M42" s="26" t="b">
        <v>1</v>
      </c>
      <c r="N42" s="26" t="b">
        <v>1</v>
      </c>
      <c r="O42" s="26" t="b">
        <v>1</v>
      </c>
    </row>
    <row r="43" spans="1:15" ht="30" customHeight="1" x14ac:dyDescent="0.25">
      <c r="A43" t="s">
        <v>1073</v>
      </c>
      <c r="B43" s="2">
        <v>615887</v>
      </c>
      <c r="C43" t="s">
        <v>1213</v>
      </c>
      <c r="D43" s="1" t="s">
        <v>570</v>
      </c>
      <c r="E43" t="b">
        <v>0</v>
      </c>
      <c r="F43" s="4">
        <v>69900</v>
      </c>
      <c r="G43" t="s">
        <v>1214</v>
      </c>
      <c r="H43" t="s">
        <v>1215</v>
      </c>
      <c r="I43" s="1" t="s">
        <v>1216</v>
      </c>
      <c r="J43" s="21" t="str">
        <f>VLOOKUP(Table9[[#This Row],[Company ID]],'[1]Coordinator Notes'!$B:$C,2,FALSE)</f>
        <v>Progressing well: the W-9 accepted and logged. Outstanding item is the Spend authorization and the COI, which the contact expects by Tuesday. Steady communication.</v>
      </c>
      <c r="K43" t="str">
        <f>VLOOKUP(Table9[[#This Row],[Company ID]],'[1]Coordinator Notes'!$B:$D,3,FALSE)</f>
        <v>Received</v>
      </c>
      <c r="L43" s="12" t="str">
        <f t="shared" si="1"/>
        <v>RECEIVED</v>
      </c>
      <c r="M43" s="26" t="b">
        <v>0</v>
      </c>
      <c r="N43" s="26" t="b">
        <v>1</v>
      </c>
      <c r="O43" s="26" t="b">
        <v>0</v>
      </c>
    </row>
    <row r="44" spans="1:15" ht="30" customHeight="1" x14ac:dyDescent="0.25">
      <c r="A44" t="s">
        <v>1073</v>
      </c>
      <c r="B44" s="2">
        <v>998249</v>
      </c>
      <c r="C44" t="s">
        <v>1217</v>
      </c>
      <c r="D44" s="1" t="s">
        <v>441</v>
      </c>
      <c r="E44" t="b">
        <v>0</v>
      </c>
      <c r="F44" s="4">
        <v>17700</v>
      </c>
      <c r="G44" t="s">
        <v>1218</v>
      </c>
      <c r="H44" t="s">
        <v>1219</v>
      </c>
      <c r="I44" s="1" t="s">
        <v>1220</v>
      </c>
      <c r="J44" s="21" t="str">
        <f>VLOOKUP(Table9[[#This Row],[Company ID]],'[1]Coordinator Notes'!$B:$C,2,FALSE)</f>
        <v>The coi cleared compliance review. The w-9 and the spend authorization was flagged as still needed and re-requested. Contact responsive and engaged.</v>
      </c>
      <c r="K44" t="str">
        <f>VLOOKUP(Table9[[#This Row],[Company ID]],'[1]Coordinator Notes'!$B:$D,3,FALSE)</f>
        <v>Received</v>
      </c>
      <c r="L44" s="12" t="str">
        <f t="shared" si="1"/>
        <v>RECEIVED</v>
      </c>
      <c r="M44" s="26" t="b">
        <v>1</v>
      </c>
      <c r="N44" s="26" t="b">
        <v>0</v>
      </c>
      <c r="O44" s="26" t="b">
        <v>0</v>
      </c>
    </row>
    <row r="45" spans="1:15" ht="30" customHeight="1" x14ac:dyDescent="0.25">
      <c r="A45" t="s">
        <v>1073</v>
      </c>
      <c r="B45" s="2">
        <v>146828</v>
      </c>
      <c r="C45" t="s">
        <v>1221</v>
      </c>
      <c r="D45" s="1" t="s">
        <v>441</v>
      </c>
      <c r="E45" t="b">
        <v>0</v>
      </c>
      <c r="F45" s="4">
        <v>4800</v>
      </c>
      <c r="G45" t="s">
        <v>1222</v>
      </c>
      <c r="H45" t="s">
        <v>1223</v>
      </c>
      <c r="I45" s="1" t="s">
        <v>1224</v>
      </c>
      <c r="J45" s="21" t="str">
        <f>VLOOKUP(Table9[[#This Row],[Company ID]],'[1]Coordinator Notes'!$B:$C,2,FALSE)</f>
        <v>Documents delayed — a vendor-side system migration that temporarily locked their files. Contact confirmed the item is in progress. Monitoring and following up Friday.</v>
      </c>
      <c r="K45" t="str">
        <f>VLOOKUP(Table9[[#This Row],[Company ID]],'[1]Coordinator Notes'!$B:$D,3,FALSE)</f>
        <v>Delayed</v>
      </c>
      <c r="L45" s="12" t="b">
        <f t="shared" si="1"/>
        <v>0</v>
      </c>
      <c r="M45" s="26" t="b">
        <v>0</v>
      </c>
      <c r="N45" s="26" t="b">
        <v>0</v>
      </c>
      <c r="O45" s="26" t="b">
        <v>0</v>
      </c>
    </row>
    <row r="46" spans="1:15" ht="30" customHeight="1" x14ac:dyDescent="0.25">
      <c r="A46" t="s">
        <v>1073</v>
      </c>
      <c r="B46" s="2">
        <v>443681</v>
      </c>
      <c r="C46" t="s">
        <v>1225</v>
      </c>
      <c r="D46" s="1" t="s">
        <v>441</v>
      </c>
      <c r="E46" t="b">
        <v>0</v>
      </c>
      <c r="F46" s="4">
        <v>23700</v>
      </c>
      <c r="G46" t="s">
        <v>1226</v>
      </c>
      <c r="H46" t="s">
        <v>1227</v>
      </c>
      <c r="I46" s="1" t="s">
        <v>1228</v>
      </c>
      <c r="J46" s="21" t="str">
        <f>VLOOKUP(Table9[[#This Row],[Company ID]],'[1]Coordinator Notes'!$B:$C,2,FALSE)</f>
        <v>Contact delivered the Spend authorization ahead of the deadline, completing the packet. Coverage and W-9 details confirmed current. Cleared for daily operations support.</v>
      </c>
      <c r="K46" t="str">
        <f>VLOOKUP(Table9[[#This Row],[Company ID]],'[1]Coordinator Notes'!$B:$D,3,FALSE)</f>
        <v>Completion</v>
      </c>
      <c r="L46" s="12" t="b">
        <f t="shared" si="1"/>
        <v>1</v>
      </c>
      <c r="M46" s="26" t="b">
        <v>1</v>
      </c>
      <c r="N46" s="26" t="b">
        <v>1</v>
      </c>
      <c r="O46" s="26" t="b">
        <v>1</v>
      </c>
    </row>
    <row r="47" spans="1:15" ht="30" customHeight="1" x14ac:dyDescent="0.25">
      <c r="A47" t="s">
        <v>1073</v>
      </c>
      <c r="B47" s="2">
        <v>135253</v>
      </c>
      <c r="C47" t="s">
        <v>1229</v>
      </c>
      <c r="D47" s="1" t="s">
        <v>587</v>
      </c>
      <c r="E47" t="b">
        <v>0</v>
      </c>
      <c r="F47" s="4">
        <v>120300</v>
      </c>
      <c r="G47" t="s">
        <v>1230</v>
      </c>
      <c r="H47" t="s">
        <v>1231</v>
      </c>
      <c r="I47" s="1" t="s">
        <v>1232</v>
      </c>
      <c r="J47" s="21" t="str">
        <f>VLOOKUP(Table9[[#This Row],[Company ID]],'[1]Coordinator Notes'!$B:$C,2,FALSE)</f>
        <v>Repeated attempts to reach the contact have gone unanswered. No paperwork received so far. Escalating to their main office line.</v>
      </c>
      <c r="K47" t="str">
        <f>VLOOKUP(Table9[[#This Row],[Company ID]],'[1]Coordinator Notes'!$B:$D,3,FALSE)</f>
        <v>Poor Communication</v>
      </c>
      <c r="L47" s="12" t="b">
        <f t="shared" si="1"/>
        <v>0</v>
      </c>
      <c r="M47" s="26" t="b">
        <v>0</v>
      </c>
      <c r="N47" s="26" t="b">
        <v>0</v>
      </c>
      <c r="O47" s="26" t="b">
        <v>0</v>
      </c>
    </row>
    <row r="48" spans="1:15" ht="30" customHeight="1" x14ac:dyDescent="0.25">
      <c r="A48" t="s">
        <v>1073</v>
      </c>
      <c r="B48" s="2">
        <v>441614</v>
      </c>
      <c r="C48" t="s">
        <v>1233</v>
      </c>
      <c r="D48" s="1" t="s">
        <v>603</v>
      </c>
      <c r="E48" t="b">
        <v>0</v>
      </c>
      <c r="F48" s="4">
        <v>4600</v>
      </c>
      <c r="G48" t="s">
        <v>1234</v>
      </c>
      <c r="H48" t="s">
        <v>1235</v>
      </c>
      <c r="I48" s="1" t="s">
        <v>1236</v>
      </c>
      <c r="J48" s="21" t="str">
        <f>VLOOKUP(Table9[[#This Row],[Company ID]],'[1]Coordinator Notes'!$B:$C,2,FALSE)</f>
        <v>Contact acknowledged the request but has since stopped responding. No documents in. Trying a different channel and noting for supervisor follow-up.</v>
      </c>
      <c r="K48" t="str">
        <f>VLOOKUP(Table9[[#This Row],[Company ID]],'[1]Coordinator Notes'!$B:$D,3,FALSE)</f>
        <v>Poor Communication</v>
      </c>
      <c r="L48" s="12" t="b">
        <f t="shared" si="1"/>
        <v>0</v>
      </c>
      <c r="M48" s="26" t="b">
        <v>0</v>
      </c>
      <c r="N48" s="26" t="b">
        <v>0</v>
      </c>
      <c r="O48" s="26" t="b">
        <v>0</v>
      </c>
    </row>
    <row r="49" spans="1:15" ht="30" customHeight="1" x14ac:dyDescent="0.25">
      <c r="A49" t="s">
        <v>1073</v>
      </c>
      <c r="B49" s="2">
        <v>135811</v>
      </c>
      <c r="C49" t="s">
        <v>1237</v>
      </c>
      <c r="D49" s="1" t="s">
        <v>446</v>
      </c>
      <c r="E49" t="b">
        <v>0</v>
      </c>
      <c r="F49" s="4">
        <v>22500</v>
      </c>
      <c r="G49" t="s">
        <v>1238</v>
      </c>
      <c r="H49" t="s">
        <v>1239</v>
      </c>
      <c r="I49" s="1" t="s">
        <v>1240</v>
      </c>
      <c r="J49" s="21" t="str">
        <f>VLOOKUP(Table9[[#This Row],[Company ID]],'[1]Coordinator Notes'!$B:$C,2,FALSE)</f>
        <v>Confirmed all required paperwork on file once the W-9 came through the portal. Insurance limits and tax details verified. Onboarding closed out.</v>
      </c>
      <c r="K49" t="str">
        <f>VLOOKUP(Table9[[#This Row],[Company ID]],'[1]Coordinator Notes'!$B:$D,3,FALSE)</f>
        <v>Completion</v>
      </c>
      <c r="L49" s="12" t="b">
        <f t="shared" si="1"/>
        <v>1</v>
      </c>
      <c r="M49" s="26" t="b">
        <v>1</v>
      </c>
      <c r="N49" s="26" t="b">
        <v>1</v>
      </c>
      <c r="O49" s="26" t="b">
        <v>1</v>
      </c>
    </row>
    <row r="50" spans="1:15" ht="30" customHeight="1" x14ac:dyDescent="0.25">
      <c r="A50" t="s">
        <v>1073</v>
      </c>
      <c r="B50" s="2">
        <v>607343</v>
      </c>
      <c r="C50" t="s">
        <v>1241</v>
      </c>
      <c r="D50" s="1" t="s">
        <v>446</v>
      </c>
      <c r="E50" t="b">
        <v>0</v>
      </c>
      <c r="F50" s="4">
        <v>24200</v>
      </c>
      <c r="G50" t="s">
        <v>1242</v>
      </c>
      <c r="H50" t="s">
        <v>1243</v>
      </c>
      <c r="I50" s="1" t="s">
        <v>1244</v>
      </c>
      <c r="J50" s="21" t="str">
        <f>VLOOKUP(Table9[[#This Row],[Company ID]],'[1]Coordinator Notes'!$B:$C,2,FALSE)</f>
        <v>Packet complete after the Spend authorization was uploaded, closing the final open item. Documents were cross-checked against contract requirements and approved. Vendor moved to active status.</v>
      </c>
      <c r="K50" t="str">
        <f>VLOOKUP(Table9[[#This Row],[Company ID]],'[1]Coordinator Notes'!$B:$D,3,FALSE)</f>
        <v>Completion</v>
      </c>
      <c r="L50" s="12" t="b">
        <f t="shared" si="1"/>
        <v>1</v>
      </c>
      <c r="M50" s="26" t="b">
        <v>1</v>
      </c>
      <c r="N50" s="26" t="b">
        <v>1</v>
      </c>
      <c r="O50" s="26" t="b">
        <v>1</v>
      </c>
    </row>
    <row r="51" spans="1:15" ht="30" customHeight="1" x14ac:dyDescent="0.25">
      <c r="A51" t="s">
        <v>1073</v>
      </c>
      <c r="B51" s="2">
        <v>464545</v>
      </c>
      <c r="C51" t="s">
        <v>1245</v>
      </c>
      <c r="D51" s="1" t="s">
        <v>622</v>
      </c>
      <c r="E51" t="b">
        <v>0</v>
      </c>
      <c r="F51" s="4">
        <v>54200</v>
      </c>
      <c r="G51" t="s">
        <v>226</v>
      </c>
      <c r="H51" t="s">
        <v>1246</v>
      </c>
      <c r="I51" s="1" t="s">
        <v>1247</v>
      </c>
      <c r="J51" s="21" t="str">
        <f>VLOOKUP(Table9[[#This Row],[Company ID]],'[1]Coordinator Notes'!$B:$C,2,FALSE)</f>
        <v>First batch received: the COI and the Spend authorization logged and approved. Still awaiting the W-9. Contact committed to finishing by Friday.</v>
      </c>
      <c r="K51" t="str">
        <f>VLOOKUP(Table9[[#This Row],[Company ID]],'[1]Coordinator Notes'!$B:$D,3,FALSE)</f>
        <v>Received</v>
      </c>
      <c r="L51" s="12" t="str">
        <f t="shared" si="1"/>
        <v>RECEIVED</v>
      </c>
      <c r="M51" s="26" t="b">
        <v>1</v>
      </c>
      <c r="N51" s="26" t="b">
        <v>0</v>
      </c>
      <c r="O51" s="26" t="b">
        <v>1</v>
      </c>
    </row>
    <row r="52" spans="1:15" ht="30" customHeight="1" x14ac:dyDescent="0.25">
      <c r="A52" t="s">
        <v>1073</v>
      </c>
      <c r="B52" s="2">
        <v>195089</v>
      </c>
      <c r="C52" t="s">
        <v>1248</v>
      </c>
      <c r="D52" s="1" t="s">
        <v>622</v>
      </c>
      <c r="E52" t="b">
        <v>0</v>
      </c>
      <c r="F52" s="4">
        <v>30800</v>
      </c>
      <c r="G52" t="s">
        <v>1249</v>
      </c>
      <c r="H52" t="s">
        <v>1250</v>
      </c>
      <c r="I52" s="1" t="s">
        <v>1251</v>
      </c>
      <c r="J52" s="21" t="str">
        <f>VLOOKUP(Table9[[#This Row],[Company ID]],'[1]Coordinator Notes'!$B:$C,2,FALSE)</f>
        <v>Received the COI and the Spend authorization through the portal today; the W-9 still pending. Contact acknowledged the request and is gathering the paperwork. Checking back Wednesday.</v>
      </c>
      <c r="K52" t="str">
        <f>VLOOKUP(Table9[[#This Row],[Company ID]],'[1]Coordinator Notes'!$B:$D,3,FALSE)</f>
        <v>Received</v>
      </c>
      <c r="L52" s="12" t="str">
        <f t="shared" si="1"/>
        <v>RECEIVED</v>
      </c>
      <c r="M52" s="26" t="b">
        <v>1</v>
      </c>
      <c r="N52" s="26" t="b">
        <v>0</v>
      </c>
      <c r="O52" s="26" t="b">
        <v>1</v>
      </c>
    </row>
    <row r="53" spans="1:15" ht="30" customHeight="1" x14ac:dyDescent="0.25">
      <c r="A53" t="s">
        <v>1073</v>
      </c>
      <c r="B53" s="2">
        <v>672136</v>
      </c>
      <c r="C53" t="s">
        <v>1252</v>
      </c>
      <c r="D53" s="1" t="s">
        <v>622</v>
      </c>
      <c r="E53" t="b">
        <v>0</v>
      </c>
      <c r="F53" s="4">
        <v>98500</v>
      </c>
      <c r="G53" t="s">
        <v>1253</v>
      </c>
      <c r="H53" t="s">
        <v>1254</v>
      </c>
      <c r="I53" s="1" t="s">
        <v>1255</v>
      </c>
      <c r="J53" s="21" t="str">
        <f>VLOOKUP(Table9[[#This Row],[Company ID]],'[1]Coordinator Notes'!$B:$C,2,FALSE)</f>
        <v>Third outreach attempt with no response from the contact. Voicemail left and a follow-up email sent requesting the outstanding documents. Escalating to a backup contact if no reply by Monday.</v>
      </c>
      <c r="K53" t="str">
        <f>VLOOKUP(Table9[[#This Row],[Company ID]],'[1]Coordinator Notes'!$B:$D,3,FALSE)</f>
        <v>Poor Communication</v>
      </c>
      <c r="L53" s="12" t="b">
        <f t="shared" si="1"/>
        <v>0</v>
      </c>
      <c r="M53" s="26" t="b">
        <v>0</v>
      </c>
      <c r="N53" s="26" t="b">
        <v>0</v>
      </c>
      <c r="O53" s="26" t="b">
        <v>0</v>
      </c>
    </row>
    <row r="54" spans="1:15" ht="30" customHeight="1" x14ac:dyDescent="0.25">
      <c r="A54" t="s">
        <v>1073</v>
      </c>
      <c r="B54" s="2">
        <v>832245</v>
      </c>
      <c r="C54" t="s">
        <v>1256</v>
      </c>
      <c r="D54" s="1" t="s">
        <v>622</v>
      </c>
      <c r="E54" t="b">
        <v>0</v>
      </c>
      <c r="F54" s="4">
        <v>82200</v>
      </c>
      <c r="G54" t="s">
        <v>1257</v>
      </c>
      <c r="H54" t="s">
        <v>1258</v>
      </c>
      <c r="I54" s="1" t="s">
        <v>1259</v>
      </c>
      <c r="J54" s="21" t="str">
        <f>VLOOKUP(Table9[[#This Row],[Company ID]],'[1]Coordinator Notes'!$B:$C,2,FALSE)</f>
        <v>Good progress — the W-9 confirmed and filed. The spend authorization and the coi sits in the vendor's internal approval queue, expected by Friday. No concerns yet.</v>
      </c>
      <c r="K54" t="str">
        <f>VLOOKUP(Table9[[#This Row],[Company ID]],'[1]Coordinator Notes'!$B:$D,3,FALSE)</f>
        <v>Received</v>
      </c>
      <c r="L54" s="12" t="str">
        <f t="shared" si="1"/>
        <v>RECEIVED</v>
      </c>
      <c r="M54" s="26" t="b">
        <v>0</v>
      </c>
      <c r="N54" s="26" t="b">
        <v>1</v>
      </c>
      <c r="O54" s="26" t="b">
        <v>0</v>
      </c>
    </row>
    <row r="55" spans="1:15" ht="30" customHeight="1" x14ac:dyDescent="0.25">
      <c r="A55" t="s">
        <v>1073</v>
      </c>
      <c r="B55" s="2">
        <v>227268</v>
      </c>
      <c r="C55" t="s">
        <v>1260</v>
      </c>
      <c r="D55" s="1" t="s">
        <v>622</v>
      </c>
      <c r="E55" t="b">
        <v>0</v>
      </c>
      <c r="F55" s="4">
        <v>79600</v>
      </c>
      <c r="G55" t="s">
        <v>1261</v>
      </c>
      <c r="H55" t="s">
        <v>1262</v>
      </c>
      <c r="I55" s="1" t="s">
        <v>1263</v>
      </c>
      <c r="J55" s="21" t="str">
        <f>VLOOKUP(Table9[[#This Row],[Company ID]],'[1]Coordinator Notes'!$B:$C,2,FALSE)</f>
        <v>The spend authorization is delayed due to a legal entity name change working through their system. A short extension was granted and acknowledged. Will re-check status by Thursday.</v>
      </c>
      <c r="K55" t="str">
        <f>VLOOKUP(Table9[[#This Row],[Company ID]],'[1]Coordinator Notes'!$B:$D,3,FALSE)</f>
        <v>Delayed</v>
      </c>
      <c r="L55" s="12" t="b">
        <f t="shared" si="1"/>
        <v>0</v>
      </c>
      <c r="M55" s="26" t="b">
        <v>0</v>
      </c>
      <c r="N55" s="26" t="b">
        <v>0</v>
      </c>
      <c r="O55" s="26" t="b">
        <v>0</v>
      </c>
    </row>
    <row r="56" spans="1:15" ht="30" customHeight="1" x14ac:dyDescent="0.25">
      <c r="A56" t="s">
        <v>1073</v>
      </c>
      <c r="B56" s="2">
        <v>863336</v>
      </c>
      <c r="C56" t="s">
        <v>1264</v>
      </c>
      <c r="D56" s="1" t="s">
        <v>230</v>
      </c>
      <c r="E56" t="b">
        <v>0</v>
      </c>
      <c r="F56" s="4">
        <v>33200</v>
      </c>
      <c r="G56" t="s">
        <v>1265</v>
      </c>
      <c r="H56" t="s">
        <v>1266</v>
      </c>
      <c r="I56" s="1" t="s">
        <v>1267</v>
      </c>
      <c r="J56" s="21" t="str">
        <f>VLOOKUP(Table9[[#This Row],[Company ID]],'[1]Coordinator Notes'!$B:$C,2,FALSE)</f>
        <v>All three required documents were approved on first pass, the COI included. The Certificate of Insurance names the arena as additional insured, as required. Vendor is good to go.</v>
      </c>
      <c r="K56" t="str">
        <f>VLOOKUP(Table9[[#This Row],[Company ID]],'[1]Coordinator Notes'!$B:$D,3,FALSE)</f>
        <v>Completion</v>
      </c>
      <c r="L56" s="12" t="b">
        <f t="shared" si="1"/>
        <v>1</v>
      </c>
      <c r="M56" s="26" t="b">
        <v>1</v>
      </c>
      <c r="N56" s="26" t="b">
        <v>1</v>
      </c>
      <c r="O56" s="26" t="b">
        <v>1</v>
      </c>
    </row>
    <row r="57" spans="1:15" ht="30" customHeight="1" x14ac:dyDescent="0.25">
      <c r="A57" t="s">
        <v>1073</v>
      </c>
      <c r="B57" s="2">
        <v>554103</v>
      </c>
      <c r="C57" t="s">
        <v>1268</v>
      </c>
      <c r="D57" s="1" t="s">
        <v>647</v>
      </c>
      <c r="E57" t="b">
        <v>0</v>
      </c>
      <c r="F57" s="4">
        <v>4300</v>
      </c>
      <c r="G57" t="s">
        <v>1269</v>
      </c>
      <c r="H57" t="s">
        <v>1270</v>
      </c>
      <c r="I57" s="1" t="s">
        <v>1271</v>
      </c>
      <c r="J57" s="21" t="str">
        <f>VLOOKUP(Table9[[#This Row],[Company ID]],'[1]Coordinator Notes'!$B:$C,2,FALSE)</f>
        <v>All onboarding documents — COI, W-9, and Spend authorization — are received and verified, with the Spend authorization arriving last. Compliance review passed with no exceptions. Vendor is fully onboarded and cleared for service.</v>
      </c>
      <c r="K57" t="str">
        <f>VLOOKUP(Table9[[#This Row],[Company ID]],'[1]Coordinator Notes'!$B:$D,3,FALSE)</f>
        <v>Completion</v>
      </c>
      <c r="L57" s="12" t="b">
        <f t="shared" si="1"/>
        <v>1</v>
      </c>
      <c r="M57" s="26" t="b">
        <v>1</v>
      </c>
      <c r="N57" s="26" t="b">
        <v>1</v>
      </c>
      <c r="O57" s="26" t="b">
        <v>1</v>
      </c>
    </row>
    <row r="58" spans="1:15" ht="30" customHeight="1" x14ac:dyDescent="0.25">
      <c r="A58" t="s">
        <v>1073</v>
      </c>
      <c r="B58" s="2">
        <v>329348</v>
      </c>
      <c r="C58" t="s">
        <v>1272</v>
      </c>
      <c r="D58" s="1" t="s">
        <v>647</v>
      </c>
      <c r="E58" t="b">
        <v>0</v>
      </c>
      <c r="F58" s="4">
        <v>7800</v>
      </c>
      <c r="G58" t="s">
        <v>131</v>
      </c>
      <c r="H58" t="s">
        <v>1273</v>
      </c>
      <c r="I58" s="1" t="s">
        <v>1274</v>
      </c>
      <c r="J58" s="21" t="str">
        <f>VLOOKUP(Table9[[#This Row],[Company ID]],'[1]Coordinator Notes'!$B:$C,2,FALSE)</f>
        <v>Communication has stalled — three follow-ups sent with no reply. Nothing submitted to date. Flagging this vendor as at-risk for onboarding.</v>
      </c>
      <c r="K58" t="str">
        <f>VLOOKUP(Table9[[#This Row],[Company ID]],'[1]Coordinator Notes'!$B:$D,3,FALSE)</f>
        <v>Poor Communication</v>
      </c>
      <c r="L58" s="12" t="b">
        <f t="shared" si="1"/>
        <v>0</v>
      </c>
      <c r="M58" s="26" t="b">
        <v>0</v>
      </c>
      <c r="N58" s="26" t="b">
        <v>0</v>
      </c>
      <c r="O58" s="26" t="b">
        <v>0</v>
      </c>
    </row>
  </sheetData>
  <conditionalFormatting sqref="L6:L58">
    <cfRule type="containsText" dxfId="3" priority="1" operator="containsText" text="RECEIVED">
      <formula>NOT(ISERROR(SEARCH("RECEIVED",L6)))</formula>
    </cfRule>
    <cfRule type="containsText" dxfId="2" priority="2" operator="containsText" text="TRUE">
      <formula>NOT(ISERROR(SEARCH("TRUE",L6)))</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D48BB-8636-4C29-97F0-8F6438563765}">
  <sheetPr>
    <tabColor theme="3" tint="0.39997558519241921"/>
  </sheetPr>
  <dimension ref="A1:O57"/>
  <sheetViews>
    <sheetView zoomScale="80" zoomScaleNormal="80" workbookViewId="0">
      <pane ySplit="5" topLeftCell="A6" activePane="bottomLeft" state="frozen"/>
      <selection pane="bottomLeft" activeCell="D2" sqref="D2"/>
    </sheetView>
  </sheetViews>
  <sheetFormatPr defaultRowHeight="15" x14ac:dyDescent="0.25"/>
  <cols>
    <col min="1" max="1" width="20.7109375" customWidth="1"/>
    <col min="2" max="2" width="15.7109375" style="2" customWidth="1"/>
    <col min="3" max="3" width="37.7109375" bestFit="1" customWidth="1"/>
    <col min="4" max="4" width="25" bestFit="1" customWidth="1"/>
    <col min="5" max="5" width="9.28515625" customWidth="1"/>
    <col min="6" max="6" width="15.140625" customWidth="1"/>
    <col min="7" max="7" width="18.28515625" bestFit="1" customWidth="1"/>
    <col min="8" max="8" width="15.7109375" customWidth="1"/>
    <col min="9" max="9" width="35.28515625" bestFit="1" customWidth="1"/>
    <col min="10" max="10" width="35.7109375" customWidth="1"/>
    <col min="11" max="11" width="20.7109375" customWidth="1"/>
    <col min="12" max="12" width="18" customWidth="1"/>
    <col min="13" max="15" width="12.7109375" customWidth="1"/>
  </cols>
  <sheetData>
    <row r="1" spans="1:15" ht="15.75" x14ac:dyDescent="0.25">
      <c r="A1" s="61" t="s">
        <v>1484</v>
      </c>
      <c r="B1" s="63"/>
      <c r="C1" s="62"/>
    </row>
    <row r="2" spans="1:15" ht="15.75" x14ac:dyDescent="0.25">
      <c r="A2" s="61" t="s">
        <v>1673</v>
      </c>
      <c r="B2" s="63"/>
      <c r="C2" s="62"/>
    </row>
    <row r="4" spans="1:15" ht="15.75" thickBot="1" x14ac:dyDescent="0.3"/>
    <row r="5" spans="1:15" ht="30" customHeight="1" thickBot="1" x14ac:dyDescent="0.3">
      <c r="A5" s="15" t="s">
        <v>0</v>
      </c>
      <c r="B5" s="15" t="s">
        <v>1</v>
      </c>
      <c r="C5" s="15" t="s">
        <v>2</v>
      </c>
      <c r="D5" s="15" t="s">
        <v>3</v>
      </c>
      <c r="E5" s="15" t="s">
        <v>4</v>
      </c>
      <c r="F5" s="15" t="s">
        <v>5</v>
      </c>
      <c r="G5" s="15" t="s">
        <v>6</v>
      </c>
      <c r="H5" s="15" t="s">
        <v>7</v>
      </c>
      <c r="I5" s="15" t="s">
        <v>8</v>
      </c>
      <c r="J5" s="15" t="s">
        <v>1468</v>
      </c>
      <c r="K5" s="15" t="s">
        <v>1469</v>
      </c>
      <c r="L5" s="15" t="s">
        <v>1470</v>
      </c>
      <c r="M5" s="23" t="s">
        <v>1471</v>
      </c>
      <c r="N5" s="24" t="s">
        <v>1472</v>
      </c>
      <c r="O5" s="25" t="s">
        <v>1473</v>
      </c>
    </row>
    <row r="6" spans="1:15" ht="30" customHeight="1" x14ac:dyDescent="0.25">
      <c r="A6" t="s">
        <v>1275</v>
      </c>
      <c r="B6" s="2">
        <v>674775</v>
      </c>
      <c r="C6" t="s">
        <v>1276</v>
      </c>
      <c r="D6" s="1" t="s">
        <v>28</v>
      </c>
      <c r="E6" t="b">
        <v>1</v>
      </c>
      <c r="F6" s="3">
        <v>460900</v>
      </c>
      <c r="G6" t="s">
        <v>1277</v>
      </c>
      <c r="H6" t="s">
        <v>1278</v>
      </c>
      <c r="I6" s="1" t="s">
        <v>1279</v>
      </c>
      <c r="J6" s="21" t="s">
        <v>1493</v>
      </c>
      <c r="K6" t="str">
        <f>VLOOKUP(Table10[[#This Row],[Company ID]],'[1]Coordinator Notes'!$B:$D,3,FALSE)</f>
        <v>Received</v>
      </c>
      <c r="L6" s="12" t="str">
        <f t="shared" ref="L6:L37" si="0">IF(COUNTIF(M6:O6, TRUE) =3,TRUE, IF(COUNTIF(M6:O6,TRUE)&gt;=1,"RECEIVED", FALSE))</f>
        <v>RECEIVED</v>
      </c>
      <c r="M6" s="26" t="b">
        <v>0</v>
      </c>
      <c r="N6" s="26" t="b">
        <v>0</v>
      </c>
      <c r="O6" s="26" t="b">
        <v>1</v>
      </c>
    </row>
    <row r="7" spans="1:15" ht="30" customHeight="1" x14ac:dyDescent="0.25">
      <c r="A7" t="s">
        <v>1275</v>
      </c>
      <c r="B7" s="2">
        <v>672992</v>
      </c>
      <c r="C7" t="s">
        <v>1280</v>
      </c>
      <c r="D7" s="1" t="s">
        <v>28</v>
      </c>
      <c r="E7" t="b">
        <v>1</v>
      </c>
      <c r="F7" s="3">
        <v>452800</v>
      </c>
      <c r="G7" t="s">
        <v>240</v>
      </c>
      <c r="H7" t="s">
        <v>1281</v>
      </c>
      <c r="I7" s="1" t="s">
        <v>1282</v>
      </c>
      <c r="J7" s="21" t="s">
        <v>1494</v>
      </c>
      <c r="K7" t="str">
        <f>VLOOKUP(Table10[[#This Row],[Company ID]],'[1]Coordinator Notes'!$B:$D,3,FALSE)</f>
        <v>Received</v>
      </c>
      <c r="L7" s="12" t="str">
        <f t="shared" si="0"/>
        <v>RECEIVED</v>
      </c>
      <c r="M7" s="26" t="b">
        <v>1</v>
      </c>
      <c r="N7" s="26" t="b">
        <v>1</v>
      </c>
      <c r="O7" s="26" t="b">
        <v>0</v>
      </c>
    </row>
    <row r="8" spans="1:15" ht="30" customHeight="1" x14ac:dyDescent="0.25">
      <c r="A8" t="s">
        <v>1275</v>
      </c>
      <c r="B8" s="2">
        <v>845480</v>
      </c>
      <c r="C8" t="s">
        <v>1283</v>
      </c>
      <c r="D8" s="1" t="s">
        <v>61</v>
      </c>
      <c r="E8" t="b">
        <v>1</v>
      </c>
      <c r="F8" s="3">
        <v>155500</v>
      </c>
      <c r="G8" t="s">
        <v>1284</v>
      </c>
      <c r="H8" t="s">
        <v>1285</v>
      </c>
      <c r="I8" s="1" t="s">
        <v>1286</v>
      </c>
      <c r="J8" s="21" t="s">
        <v>1495</v>
      </c>
      <c r="K8" t="str">
        <f>VLOOKUP(Table10[[#This Row],[Company ID]],'[1]Coordinator Notes'!$B:$D,3,FALSE)</f>
        <v>Completion</v>
      </c>
      <c r="L8" s="12" t="b">
        <f t="shared" si="0"/>
        <v>1</v>
      </c>
      <c r="M8" s="26" t="b">
        <v>1</v>
      </c>
      <c r="N8" s="26" t="b">
        <v>1</v>
      </c>
      <c r="O8" s="26" t="b">
        <v>1</v>
      </c>
    </row>
    <row r="9" spans="1:15" ht="30" customHeight="1" x14ac:dyDescent="0.25">
      <c r="A9" t="s">
        <v>1275</v>
      </c>
      <c r="B9" s="2">
        <v>546109</v>
      </c>
      <c r="C9" t="s">
        <v>1287</v>
      </c>
      <c r="D9" s="1" t="s">
        <v>118</v>
      </c>
      <c r="E9" t="b">
        <v>1</v>
      </c>
      <c r="F9" s="3">
        <v>430300</v>
      </c>
      <c r="G9" t="s">
        <v>1288</v>
      </c>
      <c r="H9" t="s">
        <v>1289</v>
      </c>
      <c r="I9" s="1" t="s">
        <v>1290</v>
      </c>
      <c r="J9" s="21" t="s">
        <v>1496</v>
      </c>
      <c r="K9" t="str">
        <f>VLOOKUP(Table10[[#This Row],[Company ID]],'[1]Coordinator Notes'!$B:$D,3,FALSE)</f>
        <v>Received</v>
      </c>
      <c r="L9" s="12" t="str">
        <f t="shared" si="0"/>
        <v>RECEIVED</v>
      </c>
      <c r="M9" s="26" t="b">
        <v>1</v>
      </c>
      <c r="N9" s="26" t="b">
        <v>0</v>
      </c>
      <c r="O9" s="26" t="b">
        <v>0</v>
      </c>
    </row>
    <row r="10" spans="1:15" ht="30" customHeight="1" x14ac:dyDescent="0.25">
      <c r="A10" t="s">
        <v>1275</v>
      </c>
      <c r="B10" s="2">
        <v>542727</v>
      </c>
      <c r="C10" t="s">
        <v>1291</v>
      </c>
      <c r="D10" s="1" t="s">
        <v>143</v>
      </c>
      <c r="E10" t="b">
        <v>1</v>
      </c>
      <c r="F10" s="3">
        <v>297000</v>
      </c>
      <c r="G10" t="s">
        <v>1292</v>
      </c>
      <c r="H10" t="s">
        <v>1293</v>
      </c>
      <c r="I10" s="1" t="s">
        <v>1294</v>
      </c>
      <c r="J10" s="21" t="s">
        <v>1497</v>
      </c>
      <c r="K10" t="str">
        <f>VLOOKUP(Table10[[#This Row],[Company ID]],'[1]Coordinator Notes'!$B:$D,3,FALSE)</f>
        <v>Received</v>
      </c>
      <c r="L10" s="12" t="str">
        <f t="shared" si="0"/>
        <v>RECEIVED</v>
      </c>
      <c r="M10" s="26" t="b">
        <v>1</v>
      </c>
      <c r="N10" s="26" t="b">
        <v>1</v>
      </c>
      <c r="O10" s="26" t="b">
        <v>0</v>
      </c>
    </row>
    <row r="11" spans="1:15" ht="30" customHeight="1" x14ac:dyDescent="0.25">
      <c r="A11" t="s">
        <v>1275</v>
      </c>
      <c r="B11" s="2">
        <v>845414</v>
      </c>
      <c r="C11" t="s">
        <v>1295</v>
      </c>
      <c r="D11" s="1" t="s">
        <v>160</v>
      </c>
      <c r="E11" t="b">
        <v>1</v>
      </c>
      <c r="F11" s="3">
        <v>226800</v>
      </c>
      <c r="G11" t="s">
        <v>1296</v>
      </c>
      <c r="H11" t="s">
        <v>1297</v>
      </c>
      <c r="I11" s="1" t="s">
        <v>1298</v>
      </c>
      <c r="J11" s="21" t="s">
        <v>1498</v>
      </c>
      <c r="K11" t="str">
        <f>VLOOKUP(Table10[[#This Row],[Company ID]],'[1]Coordinator Notes'!$B:$D,3,FALSE)</f>
        <v>Poor Communication</v>
      </c>
      <c r="L11" s="12" t="b">
        <f t="shared" si="0"/>
        <v>0</v>
      </c>
      <c r="M11" s="26" t="b">
        <v>0</v>
      </c>
      <c r="N11" s="26" t="b">
        <v>0</v>
      </c>
      <c r="O11" s="26" t="b">
        <v>0</v>
      </c>
    </row>
    <row r="12" spans="1:15" ht="30" customHeight="1" x14ac:dyDescent="0.25">
      <c r="A12" t="s">
        <v>1275</v>
      </c>
      <c r="B12" s="2">
        <v>955797</v>
      </c>
      <c r="C12" t="s">
        <v>1299</v>
      </c>
      <c r="D12" s="1" t="s">
        <v>160</v>
      </c>
      <c r="E12" t="b">
        <v>1</v>
      </c>
      <c r="F12" s="3">
        <v>224700</v>
      </c>
      <c r="G12" t="s">
        <v>1300</v>
      </c>
      <c r="H12" t="s">
        <v>1301</v>
      </c>
      <c r="I12" s="1" t="s">
        <v>1302</v>
      </c>
      <c r="J12" s="21" t="s">
        <v>1499</v>
      </c>
      <c r="K12" t="str">
        <f>VLOOKUP(Table10[[#This Row],[Company ID]],'[1]Coordinator Notes'!$B:$D,3,FALSE)</f>
        <v>Delayed</v>
      </c>
      <c r="L12" s="12" t="b">
        <f t="shared" si="0"/>
        <v>0</v>
      </c>
      <c r="M12" s="26" t="b">
        <v>0</v>
      </c>
      <c r="N12" s="26" t="b">
        <v>0</v>
      </c>
      <c r="O12" s="26" t="b">
        <v>0</v>
      </c>
    </row>
    <row r="13" spans="1:15" ht="30" customHeight="1" x14ac:dyDescent="0.25">
      <c r="A13" t="s">
        <v>1275</v>
      </c>
      <c r="B13" s="2">
        <v>470569</v>
      </c>
      <c r="C13" t="s">
        <v>1303</v>
      </c>
      <c r="D13" s="20" t="s">
        <v>206</v>
      </c>
      <c r="E13" t="b">
        <v>0</v>
      </c>
      <c r="F13" s="3">
        <v>10100</v>
      </c>
      <c r="G13" t="s">
        <v>1249</v>
      </c>
      <c r="H13" t="s">
        <v>1304</v>
      </c>
      <c r="I13" s="1" t="s">
        <v>1305</v>
      </c>
      <c r="J13" s="21" t="s">
        <v>1500</v>
      </c>
      <c r="K13" t="str">
        <f>VLOOKUP(Table10[[#This Row],[Company ID]],'[1]Coordinator Notes'!$B:$D,3,FALSE)</f>
        <v>Poor Communication</v>
      </c>
      <c r="L13" s="12" t="b">
        <f t="shared" si="0"/>
        <v>0</v>
      </c>
      <c r="M13" s="26" t="b">
        <v>0</v>
      </c>
      <c r="N13" s="26" t="b">
        <v>0</v>
      </c>
      <c r="O13" s="26" t="b">
        <v>0</v>
      </c>
    </row>
    <row r="14" spans="1:15" ht="30" customHeight="1" x14ac:dyDescent="0.25">
      <c r="A14" t="s">
        <v>1275</v>
      </c>
      <c r="B14" s="2">
        <v>534201</v>
      </c>
      <c r="C14" t="s">
        <v>1306</v>
      </c>
      <c r="D14" s="20" t="s">
        <v>206</v>
      </c>
      <c r="E14" t="b">
        <v>0</v>
      </c>
      <c r="F14" s="3">
        <v>225600</v>
      </c>
      <c r="G14" t="s">
        <v>1307</v>
      </c>
      <c r="H14" t="s">
        <v>1308</v>
      </c>
      <c r="I14" s="1" t="s">
        <v>1309</v>
      </c>
      <c r="J14" s="21" t="s">
        <v>1501</v>
      </c>
      <c r="K14" t="str">
        <f>VLOOKUP(Table10[[#This Row],[Company ID]],'[1]Coordinator Notes'!$B:$D,3,FALSE)</f>
        <v>Delayed</v>
      </c>
      <c r="L14" s="12" t="b">
        <f t="shared" si="0"/>
        <v>0</v>
      </c>
      <c r="M14" s="26" t="b">
        <v>0</v>
      </c>
      <c r="N14" s="26" t="b">
        <v>0</v>
      </c>
      <c r="O14" s="26" t="b">
        <v>0</v>
      </c>
    </row>
    <row r="15" spans="1:15" ht="30" customHeight="1" x14ac:dyDescent="0.25">
      <c r="A15" t="s">
        <v>1275</v>
      </c>
      <c r="B15" s="2">
        <v>441880</v>
      </c>
      <c r="C15" t="s">
        <v>1310</v>
      </c>
      <c r="D15" s="1" t="s">
        <v>211</v>
      </c>
      <c r="E15" t="b">
        <v>0</v>
      </c>
      <c r="F15" s="3">
        <v>94600</v>
      </c>
      <c r="G15" t="s">
        <v>1311</v>
      </c>
      <c r="H15" t="s">
        <v>1312</v>
      </c>
      <c r="I15" s="1" t="s">
        <v>1313</v>
      </c>
      <c r="J15" s="21" t="s">
        <v>1502</v>
      </c>
      <c r="K15" t="str">
        <f>VLOOKUP(Table10[[#This Row],[Company ID]],'[1]Coordinator Notes'!$B:$D,3,FALSE)</f>
        <v>Completion</v>
      </c>
      <c r="L15" s="12" t="b">
        <f t="shared" si="0"/>
        <v>1</v>
      </c>
      <c r="M15" s="26" t="b">
        <v>1</v>
      </c>
      <c r="N15" s="26" t="b">
        <v>1</v>
      </c>
      <c r="O15" s="26" t="b">
        <v>1</v>
      </c>
    </row>
    <row r="16" spans="1:15" ht="30" customHeight="1" x14ac:dyDescent="0.25">
      <c r="A16" t="s">
        <v>1275</v>
      </c>
      <c r="B16" s="2">
        <v>989056</v>
      </c>
      <c r="C16" t="s">
        <v>1314</v>
      </c>
      <c r="D16" s="1" t="s">
        <v>211</v>
      </c>
      <c r="E16" t="b">
        <v>0</v>
      </c>
      <c r="F16" s="3">
        <v>76200</v>
      </c>
      <c r="G16" t="s">
        <v>1315</v>
      </c>
      <c r="H16" t="s">
        <v>1134</v>
      </c>
      <c r="I16" s="1" t="s">
        <v>1316</v>
      </c>
      <c r="J16" s="21" t="s">
        <v>1503</v>
      </c>
      <c r="K16" t="str">
        <f>VLOOKUP(Table10[[#This Row],[Company ID]],'[1]Coordinator Notes'!$B:$D,3,FALSE)</f>
        <v>Received</v>
      </c>
      <c r="L16" s="12" t="str">
        <f t="shared" si="0"/>
        <v>RECEIVED</v>
      </c>
      <c r="M16" s="26" t="b">
        <v>0</v>
      </c>
      <c r="N16" s="26" t="b">
        <v>1</v>
      </c>
      <c r="O16" s="26" t="b">
        <v>0</v>
      </c>
    </row>
    <row r="17" spans="1:15" ht="30" customHeight="1" x14ac:dyDescent="0.25">
      <c r="A17" t="s">
        <v>1275</v>
      </c>
      <c r="B17" s="2">
        <v>914295</v>
      </c>
      <c r="C17" t="s">
        <v>1317</v>
      </c>
      <c r="D17" s="1" t="s">
        <v>520</v>
      </c>
      <c r="E17" t="b">
        <v>0</v>
      </c>
      <c r="F17" s="3">
        <v>91600</v>
      </c>
      <c r="G17" t="s">
        <v>1199</v>
      </c>
      <c r="H17" t="s">
        <v>1318</v>
      </c>
      <c r="I17" s="1" t="s">
        <v>1319</v>
      </c>
      <c r="J17" s="21" t="s">
        <v>1504</v>
      </c>
      <c r="K17" t="str">
        <f>VLOOKUP(Table10[[#This Row],[Company ID]],'[1]Coordinator Notes'!$B:$D,3,FALSE)</f>
        <v>Completion</v>
      </c>
      <c r="L17" s="12" t="b">
        <f t="shared" si="0"/>
        <v>1</v>
      </c>
      <c r="M17" s="26" t="b">
        <v>1</v>
      </c>
      <c r="N17" s="26" t="b">
        <v>1</v>
      </c>
      <c r="O17" s="26" t="b">
        <v>1</v>
      </c>
    </row>
    <row r="18" spans="1:15" ht="30" customHeight="1" x14ac:dyDescent="0.25">
      <c r="A18" t="s">
        <v>1275</v>
      </c>
      <c r="B18" s="2">
        <v>851324</v>
      </c>
      <c r="C18" t="s">
        <v>1320</v>
      </c>
      <c r="D18" s="1" t="s">
        <v>520</v>
      </c>
      <c r="E18" t="b">
        <v>0</v>
      </c>
      <c r="F18" s="3">
        <v>13200</v>
      </c>
      <c r="G18" t="s">
        <v>1321</v>
      </c>
      <c r="H18" t="s">
        <v>1322</v>
      </c>
      <c r="I18" s="1" t="s">
        <v>1323</v>
      </c>
      <c r="J18" s="21" t="s">
        <v>1505</v>
      </c>
      <c r="K18" t="str">
        <f>VLOOKUP(Table10[[#This Row],[Company ID]],'[1]Coordinator Notes'!$B:$D,3,FALSE)</f>
        <v>Received</v>
      </c>
      <c r="L18" s="12" t="str">
        <f t="shared" si="0"/>
        <v>RECEIVED</v>
      </c>
      <c r="M18" s="26" t="b">
        <v>1</v>
      </c>
      <c r="N18" s="26" t="b">
        <v>0</v>
      </c>
      <c r="O18" s="26" t="b">
        <v>1</v>
      </c>
    </row>
    <row r="19" spans="1:15" ht="30" customHeight="1" x14ac:dyDescent="0.25">
      <c r="A19" t="s">
        <v>1275</v>
      </c>
      <c r="B19" s="2">
        <v>932328</v>
      </c>
      <c r="C19" t="s">
        <v>1324</v>
      </c>
      <c r="D19" s="1" t="s">
        <v>520</v>
      </c>
      <c r="E19" t="b">
        <v>0</v>
      </c>
      <c r="F19" s="3">
        <v>6600</v>
      </c>
      <c r="G19" t="s">
        <v>1325</v>
      </c>
      <c r="H19" t="s">
        <v>1326</v>
      </c>
      <c r="I19" s="1" t="s">
        <v>1327</v>
      </c>
      <c r="J19" s="21" t="s">
        <v>1506</v>
      </c>
      <c r="K19" t="str">
        <f>VLOOKUP(Table10[[#This Row],[Company ID]],'[1]Coordinator Notes'!$B:$D,3,FALSE)</f>
        <v>Delayed</v>
      </c>
      <c r="L19" s="12" t="b">
        <f t="shared" si="0"/>
        <v>0</v>
      </c>
      <c r="M19" s="26" t="b">
        <v>0</v>
      </c>
      <c r="N19" s="26" t="b">
        <v>0</v>
      </c>
      <c r="O19" s="26" t="b">
        <v>0</v>
      </c>
    </row>
    <row r="20" spans="1:15" ht="30" customHeight="1" x14ac:dyDescent="0.25">
      <c r="A20" t="s">
        <v>1275</v>
      </c>
      <c r="B20" s="2">
        <v>954583</v>
      </c>
      <c r="C20" t="s">
        <v>1328</v>
      </c>
      <c r="D20" s="1" t="s">
        <v>520</v>
      </c>
      <c r="E20" t="b">
        <v>0</v>
      </c>
      <c r="F20" s="3">
        <v>88400</v>
      </c>
      <c r="G20" t="s">
        <v>1329</v>
      </c>
      <c r="H20" t="s">
        <v>1330</v>
      </c>
      <c r="I20" s="1" t="s">
        <v>1331</v>
      </c>
      <c r="J20" s="21" t="s">
        <v>1507</v>
      </c>
      <c r="K20" t="str">
        <f>VLOOKUP(Table10[[#This Row],[Company ID]],'[1]Coordinator Notes'!$B:$D,3,FALSE)</f>
        <v>Completion</v>
      </c>
      <c r="L20" s="12" t="b">
        <f t="shared" si="0"/>
        <v>1</v>
      </c>
      <c r="M20" s="26" t="b">
        <v>1</v>
      </c>
      <c r="N20" s="26" t="b">
        <v>1</v>
      </c>
      <c r="O20" s="26" t="b">
        <v>1</v>
      </c>
    </row>
    <row r="21" spans="1:15" ht="30" customHeight="1" x14ac:dyDescent="0.25">
      <c r="A21" t="s">
        <v>1275</v>
      </c>
      <c r="B21" s="2">
        <v>802964</v>
      </c>
      <c r="C21" t="s">
        <v>1332</v>
      </c>
      <c r="D21" s="1" t="s">
        <v>520</v>
      </c>
      <c r="E21" t="b">
        <v>0</v>
      </c>
      <c r="F21" s="3">
        <v>8000</v>
      </c>
      <c r="G21" t="s">
        <v>1333</v>
      </c>
      <c r="H21" t="s">
        <v>1334</v>
      </c>
      <c r="I21" s="1" t="s">
        <v>1335</v>
      </c>
      <c r="J21" s="21" t="s">
        <v>1508</v>
      </c>
      <c r="K21" t="str">
        <f>VLOOKUP(Table10[[#This Row],[Company ID]],'[1]Coordinator Notes'!$B:$D,3,FALSE)</f>
        <v>Completion</v>
      </c>
      <c r="L21" s="12" t="b">
        <f t="shared" si="0"/>
        <v>1</v>
      </c>
      <c r="M21" s="26" t="b">
        <v>1</v>
      </c>
      <c r="N21" s="26" t="b">
        <v>1</v>
      </c>
      <c r="O21" s="26" t="b">
        <v>1</v>
      </c>
    </row>
    <row r="22" spans="1:15" ht="30" customHeight="1" x14ac:dyDescent="0.25">
      <c r="A22" t="s">
        <v>1275</v>
      </c>
      <c r="B22" s="2">
        <v>126608</v>
      </c>
      <c r="C22" t="s">
        <v>1336</v>
      </c>
      <c r="D22" s="1" t="s">
        <v>419</v>
      </c>
      <c r="E22" t="b">
        <v>0</v>
      </c>
      <c r="F22" s="3">
        <v>104200</v>
      </c>
      <c r="G22" t="s">
        <v>1337</v>
      </c>
      <c r="H22" t="s">
        <v>1338</v>
      </c>
      <c r="I22" s="1" t="s">
        <v>1339</v>
      </c>
      <c r="J22" s="21" t="s">
        <v>1509</v>
      </c>
      <c r="K22" t="str">
        <f>VLOOKUP(Table10[[#This Row],[Company ID]],'[1]Coordinator Notes'!$B:$D,3,FALSE)</f>
        <v>Received</v>
      </c>
      <c r="L22" s="12" t="str">
        <f t="shared" si="0"/>
        <v>RECEIVED</v>
      </c>
      <c r="M22" s="26" t="b">
        <v>1</v>
      </c>
      <c r="N22" s="26" t="b">
        <v>0</v>
      </c>
      <c r="O22" s="26" t="b">
        <v>0</v>
      </c>
    </row>
    <row r="23" spans="1:15" ht="30" customHeight="1" x14ac:dyDescent="0.25">
      <c r="A23" t="s">
        <v>1275</v>
      </c>
      <c r="B23" s="2">
        <v>381580</v>
      </c>
      <c r="C23" t="s">
        <v>1340</v>
      </c>
      <c r="D23" s="1" t="s">
        <v>419</v>
      </c>
      <c r="E23" t="b">
        <v>0</v>
      </c>
      <c r="F23" s="3">
        <v>9500</v>
      </c>
      <c r="G23" t="s">
        <v>1341</v>
      </c>
      <c r="H23" t="s">
        <v>898</v>
      </c>
      <c r="I23" s="1" t="s">
        <v>1342</v>
      </c>
      <c r="J23" s="21" t="s">
        <v>1510</v>
      </c>
      <c r="K23" t="str">
        <f>VLOOKUP(Table10[[#This Row],[Company ID]],'[1]Coordinator Notes'!$B:$D,3,FALSE)</f>
        <v>Completion</v>
      </c>
      <c r="L23" s="12" t="b">
        <f t="shared" si="0"/>
        <v>1</v>
      </c>
      <c r="M23" s="26" t="b">
        <v>1</v>
      </c>
      <c r="N23" s="26" t="b">
        <v>1</v>
      </c>
      <c r="O23" s="26" t="b">
        <v>1</v>
      </c>
    </row>
    <row r="24" spans="1:15" ht="30" customHeight="1" x14ac:dyDescent="0.25">
      <c r="A24" t="s">
        <v>1275</v>
      </c>
      <c r="B24" s="2">
        <v>333756</v>
      </c>
      <c r="C24" t="s">
        <v>1343</v>
      </c>
      <c r="D24" s="1" t="s">
        <v>419</v>
      </c>
      <c r="E24" t="b">
        <v>0</v>
      </c>
      <c r="F24" s="3">
        <v>109500</v>
      </c>
      <c r="G24" t="s">
        <v>1344</v>
      </c>
      <c r="H24" t="s">
        <v>1345</v>
      </c>
      <c r="I24" s="1" t="s">
        <v>1346</v>
      </c>
      <c r="J24" s="21" t="s">
        <v>1491</v>
      </c>
      <c r="K24" t="str">
        <f>VLOOKUP(Table10[[#This Row],[Company ID]],'[1]Coordinator Notes'!$B:$D,3,FALSE)</f>
        <v>Poor Communication</v>
      </c>
      <c r="L24" s="12" t="b">
        <f t="shared" si="0"/>
        <v>0</v>
      </c>
      <c r="M24" s="26" t="b">
        <v>0</v>
      </c>
      <c r="N24" s="26" t="b">
        <v>0</v>
      </c>
      <c r="O24" s="26" t="b">
        <v>0</v>
      </c>
    </row>
    <row r="25" spans="1:15" ht="30" customHeight="1" x14ac:dyDescent="0.25">
      <c r="A25" t="s">
        <v>1275</v>
      </c>
      <c r="B25" s="2">
        <v>335431</v>
      </c>
      <c r="C25" t="s">
        <v>1347</v>
      </c>
      <c r="D25" s="1" t="s">
        <v>216</v>
      </c>
      <c r="E25" t="b">
        <v>0</v>
      </c>
      <c r="F25" s="3">
        <v>5400</v>
      </c>
      <c r="G25" t="s">
        <v>1348</v>
      </c>
      <c r="H25" t="s">
        <v>25</v>
      </c>
      <c r="I25" s="1" t="s">
        <v>1349</v>
      </c>
      <c r="J25" s="21" t="s">
        <v>1511</v>
      </c>
      <c r="K25" t="str">
        <f>VLOOKUP(Table10[[#This Row],[Company ID]],'[1]Coordinator Notes'!$B:$D,3,FALSE)</f>
        <v>Completion</v>
      </c>
      <c r="L25" s="12" t="b">
        <f t="shared" si="0"/>
        <v>1</v>
      </c>
      <c r="M25" s="26" t="b">
        <v>1</v>
      </c>
      <c r="N25" s="26" t="b">
        <v>1</v>
      </c>
      <c r="O25" s="26" t="b">
        <v>1</v>
      </c>
    </row>
    <row r="26" spans="1:15" ht="30" customHeight="1" x14ac:dyDescent="0.25">
      <c r="A26" t="s">
        <v>1275</v>
      </c>
      <c r="B26" s="2">
        <v>105144</v>
      </c>
      <c r="C26" t="s">
        <v>1350</v>
      </c>
      <c r="D26" s="1" t="s">
        <v>216</v>
      </c>
      <c r="E26" t="b">
        <v>0</v>
      </c>
      <c r="F26" s="3">
        <v>45600</v>
      </c>
      <c r="G26" t="s">
        <v>1351</v>
      </c>
      <c r="H26" t="s">
        <v>1352</v>
      </c>
      <c r="I26" s="1" t="s">
        <v>1353</v>
      </c>
      <c r="J26" s="21" t="s">
        <v>1512</v>
      </c>
      <c r="K26" t="str">
        <f>VLOOKUP(Table10[[#This Row],[Company ID]],'[1]Coordinator Notes'!$B:$D,3,FALSE)</f>
        <v>Completion</v>
      </c>
      <c r="L26" s="12" t="b">
        <f t="shared" si="0"/>
        <v>1</v>
      </c>
      <c r="M26" s="26" t="b">
        <v>1</v>
      </c>
      <c r="N26" s="26" t="b">
        <v>1</v>
      </c>
      <c r="O26" s="26" t="b">
        <v>1</v>
      </c>
    </row>
    <row r="27" spans="1:15" ht="30" customHeight="1" x14ac:dyDescent="0.25">
      <c r="A27" t="s">
        <v>1275</v>
      </c>
      <c r="B27" s="2">
        <v>985499</v>
      </c>
      <c r="C27" t="s">
        <v>1354</v>
      </c>
      <c r="D27" s="1" t="s">
        <v>221</v>
      </c>
      <c r="E27" t="b">
        <v>0</v>
      </c>
      <c r="F27" s="3">
        <v>13800</v>
      </c>
      <c r="G27" t="s">
        <v>1355</v>
      </c>
      <c r="H27" t="s">
        <v>1356</v>
      </c>
      <c r="I27" s="1" t="s">
        <v>1357</v>
      </c>
      <c r="J27" s="21" t="s">
        <v>1513</v>
      </c>
      <c r="K27" t="str">
        <f>VLOOKUP(Table10[[#This Row],[Company ID]],'[1]Coordinator Notes'!$B:$D,3,FALSE)</f>
        <v>Delayed</v>
      </c>
      <c r="L27" s="12" t="b">
        <f t="shared" si="0"/>
        <v>0</v>
      </c>
      <c r="M27" s="26" t="b">
        <v>0</v>
      </c>
      <c r="N27" s="26" t="b">
        <v>0</v>
      </c>
      <c r="O27" s="26" t="b">
        <v>0</v>
      </c>
    </row>
    <row r="28" spans="1:15" ht="30" customHeight="1" x14ac:dyDescent="0.25">
      <c r="A28" t="s">
        <v>1275</v>
      </c>
      <c r="B28" s="2">
        <v>344660</v>
      </c>
      <c r="C28" t="s">
        <v>1358</v>
      </c>
      <c r="D28" s="1" t="s">
        <v>221</v>
      </c>
      <c r="E28" t="b">
        <v>0</v>
      </c>
      <c r="F28" s="3">
        <v>20400</v>
      </c>
      <c r="G28" t="s">
        <v>1359</v>
      </c>
      <c r="H28" t="s">
        <v>1360</v>
      </c>
      <c r="I28" s="1" t="s">
        <v>1361</v>
      </c>
      <c r="J28" s="21" t="s">
        <v>1514</v>
      </c>
      <c r="K28" t="str">
        <f>VLOOKUP(Table10[[#This Row],[Company ID]],'[1]Coordinator Notes'!$B:$D,3,FALSE)</f>
        <v>Received</v>
      </c>
      <c r="L28" s="12" t="str">
        <f t="shared" si="0"/>
        <v>RECEIVED</v>
      </c>
      <c r="M28" s="26" t="b">
        <v>1</v>
      </c>
      <c r="N28" s="26" t="b">
        <v>0</v>
      </c>
      <c r="O28" s="26" t="b">
        <v>0</v>
      </c>
    </row>
    <row r="29" spans="1:15" ht="30" customHeight="1" x14ac:dyDescent="0.25">
      <c r="A29" t="s">
        <v>1275</v>
      </c>
      <c r="B29" s="2">
        <v>571497</v>
      </c>
      <c r="C29" t="s">
        <v>1362</v>
      </c>
      <c r="D29" s="1" t="s">
        <v>432</v>
      </c>
      <c r="E29" t="b">
        <v>0</v>
      </c>
      <c r="F29" s="3">
        <v>79400</v>
      </c>
      <c r="G29" t="s">
        <v>1363</v>
      </c>
      <c r="H29" t="s">
        <v>1364</v>
      </c>
      <c r="I29" s="1" t="s">
        <v>1365</v>
      </c>
      <c r="J29" s="21" t="s">
        <v>1515</v>
      </c>
      <c r="K29" t="str">
        <f>VLOOKUP(Table10[[#This Row],[Company ID]],'[1]Coordinator Notes'!$B:$D,3,FALSE)</f>
        <v>Poor Communication</v>
      </c>
      <c r="L29" s="12" t="b">
        <f t="shared" si="0"/>
        <v>0</v>
      </c>
      <c r="M29" s="26" t="b">
        <v>0</v>
      </c>
      <c r="N29" s="26" t="b">
        <v>0</v>
      </c>
      <c r="O29" s="26" t="b">
        <v>0</v>
      </c>
    </row>
    <row r="30" spans="1:15" ht="30" customHeight="1" x14ac:dyDescent="0.25">
      <c r="A30" t="s">
        <v>1275</v>
      </c>
      <c r="B30" s="2">
        <v>194020</v>
      </c>
      <c r="C30" t="s">
        <v>1366</v>
      </c>
      <c r="D30" s="1" t="s">
        <v>432</v>
      </c>
      <c r="E30" t="b">
        <v>0</v>
      </c>
      <c r="F30" s="3">
        <v>35600</v>
      </c>
      <c r="G30" t="s">
        <v>1367</v>
      </c>
      <c r="H30" t="s">
        <v>1368</v>
      </c>
      <c r="I30" s="1" t="s">
        <v>1369</v>
      </c>
      <c r="J30" s="21" t="s">
        <v>1516</v>
      </c>
      <c r="K30" t="str">
        <f>VLOOKUP(Table10[[#This Row],[Company ID]],'[1]Coordinator Notes'!$B:$D,3,FALSE)</f>
        <v>Delayed</v>
      </c>
      <c r="L30" s="12" t="b">
        <f t="shared" si="0"/>
        <v>0</v>
      </c>
      <c r="M30" s="26" t="b">
        <v>0</v>
      </c>
      <c r="N30" s="26" t="b">
        <v>0</v>
      </c>
      <c r="O30" s="26" t="b">
        <v>0</v>
      </c>
    </row>
    <row r="31" spans="1:15" ht="30" customHeight="1" x14ac:dyDescent="0.25">
      <c r="A31" t="s">
        <v>1275</v>
      </c>
      <c r="B31" s="2">
        <v>581104</v>
      </c>
      <c r="C31" t="s">
        <v>1370</v>
      </c>
      <c r="D31" s="1" t="s">
        <v>432</v>
      </c>
      <c r="E31" t="b">
        <v>0</v>
      </c>
      <c r="F31" s="3">
        <v>89500</v>
      </c>
      <c r="G31" t="s">
        <v>1371</v>
      </c>
      <c r="H31" t="s">
        <v>1372</v>
      </c>
      <c r="I31" s="1" t="s">
        <v>1373</v>
      </c>
      <c r="J31" s="21" t="s">
        <v>1495</v>
      </c>
      <c r="K31" t="str">
        <f>VLOOKUP(Table10[[#This Row],[Company ID]],'[1]Coordinator Notes'!$B:$D,3,FALSE)</f>
        <v>Completion</v>
      </c>
      <c r="L31" s="12" t="b">
        <f t="shared" si="0"/>
        <v>1</v>
      </c>
      <c r="M31" s="26" t="b">
        <v>1</v>
      </c>
      <c r="N31" s="26" t="b">
        <v>1</v>
      </c>
      <c r="O31" s="26" t="b">
        <v>1</v>
      </c>
    </row>
    <row r="32" spans="1:15" ht="30" customHeight="1" x14ac:dyDescent="0.25">
      <c r="A32" t="s">
        <v>1275</v>
      </c>
      <c r="B32" s="2">
        <v>811457</v>
      </c>
      <c r="C32" t="s">
        <v>1374</v>
      </c>
      <c r="D32" s="1" t="s">
        <v>437</v>
      </c>
      <c r="E32" t="b">
        <v>0</v>
      </c>
      <c r="F32" s="3">
        <v>35600</v>
      </c>
      <c r="G32" t="s">
        <v>1375</v>
      </c>
      <c r="H32" t="s">
        <v>1376</v>
      </c>
      <c r="I32" s="1" t="s">
        <v>1377</v>
      </c>
      <c r="J32" s="21" t="s">
        <v>1517</v>
      </c>
      <c r="K32" t="str">
        <f>VLOOKUP(Table10[[#This Row],[Company ID]],'[1]Coordinator Notes'!$B:$D,3,FALSE)</f>
        <v>Delayed</v>
      </c>
      <c r="L32" s="12" t="b">
        <f t="shared" si="0"/>
        <v>0</v>
      </c>
      <c r="M32" s="26" t="b">
        <v>0</v>
      </c>
      <c r="N32" s="26" t="b">
        <v>0</v>
      </c>
      <c r="O32" s="26" t="b">
        <v>0</v>
      </c>
    </row>
    <row r="33" spans="1:15" ht="30" customHeight="1" x14ac:dyDescent="0.25">
      <c r="A33" t="s">
        <v>1275</v>
      </c>
      <c r="B33" s="2">
        <v>946104</v>
      </c>
      <c r="C33" t="s">
        <v>1378</v>
      </c>
      <c r="D33" s="1" t="s">
        <v>570</v>
      </c>
      <c r="E33" t="b">
        <v>0</v>
      </c>
      <c r="F33" s="3">
        <v>27600</v>
      </c>
      <c r="G33" t="s">
        <v>1379</v>
      </c>
      <c r="H33" t="s">
        <v>1380</v>
      </c>
      <c r="I33" s="1" t="s">
        <v>1381</v>
      </c>
      <c r="J33" s="21" t="s">
        <v>1495</v>
      </c>
      <c r="K33" t="str">
        <f>VLOOKUP(Table10[[#This Row],[Company ID]],'[1]Coordinator Notes'!$B:$D,3,FALSE)</f>
        <v>Completion</v>
      </c>
      <c r="L33" s="12" t="b">
        <f t="shared" si="0"/>
        <v>1</v>
      </c>
      <c r="M33" s="26" t="b">
        <v>1</v>
      </c>
      <c r="N33" s="26" t="b">
        <v>1</v>
      </c>
      <c r="O33" s="26" t="b">
        <v>1</v>
      </c>
    </row>
    <row r="34" spans="1:15" ht="30" customHeight="1" x14ac:dyDescent="0.25">
      <c r="A34" t="s">
        <v>1275</v>
      </c>
      <c r="B34" s="2">
        <v>635180</v>
      </c>
      <c r="C34" t="s">
        <v>1382</v>
      </c>
      <c r="D34" s="1" t="s">
        <v>570</v>
      </c>
      <c r="E34" t="b">
        <v>0</v>
      </c>
      <c r="F34" s="3">
        <v>70800</v>
      </c>
      <c r="G34" t="s">
        <v>1383</v>
      </c>
      <c r="H34" t="s">
        <v>1384</v>
      </c>
      <c r="I34" s="1" t="s">
        <v>1385</v>
      </c>
      <c r="J34" s="21" t="s">
        <v>1518</v>
      </c>
      <c r="K34" t="str">
        <f>VLOOKUP(Table10[[#This Row],[Company ID]],'[1]Coordinator Notes'!$B:$D,3,FALSE)</f>
        <v>Poor Communication</v>
      </c>
      <c r="L34" s="12" t="b">
        <f t="shared" si="0"/>
        <v>0</v>
      </c>
      <c r="M34" s="26" t="b">
        <v>0</v>
      </c>
      <c r="N34" s="26" t="b">
        <v>0</v>
      </c>
      <c r="O34" s="26" t="b">
        <v>0</v>
      </c>
    </row>
    <row r="35" spans="1:15" ht="30" customHeight="1" x14ac:dyDescent="0.25">
      <c r="A35" t="s">
        <v>1275</v>
      </c>
      <c r="B35" s="2">
        <v>424008</v>
      </c>
      <c r="C35" t="s">
        <v>1386</v>
      </c>
      <c r="D35" s="1" t="s">
        <v>441</v>
      </c>
      <c r="E35" t="b">
        <v>0</v>
      </c>
      <c r="F35" s="3">
        <v>11000</v>
      </c>
      <c r="G35" t="s">
        <v>970</v>
      </c>
      <c r="H35" t="s">
        <v>1352</v>
      </c>
      <c r="I35" s="1" t="s">
        <v>1387</v>
      </c>
      <c r="J35" s="21" t="s">
        <v>1519</v>
      </c>
      <c r="K35" t="str">
        <f>VLOOKUP(Table10[[#This Row],[Company ID]],'[1]Coordinator Notes'!$B:$D,3,FALSE)</f>
        <v>Delayed</v>
      </c>
      <c r="L35" s="12" t="b">
        <f t="shared" si="0"/>
        <v>0</v>
      </c>
      <c r="M35" s="26" t="b">
        <v>0</v>
      </c>
      <c r="N35" s="26" t="b">
        <v>0</v>
      </c>
      <c r="O35" s="26" t="b">
        <v>0</v>
      </c>
    </row>
    <row r="36" spans="1:15" ht="30" customHeight="1" x14ac:dyDescent="0.25">
      <c r="A36" t="s">
        <v>1275</v>
      </c>
      <c r="B36" s="2">
        <v>291940</v>
      </c>
      <c r="C36" t="s">
        <v>1388</v>
      </c>
      <c r="D36" s="1" t="s">
        <v>441</v>
      </c>
      <c r="E36" t="b">
        <v>0</v>
      </c>
      <c r="F36" s="3">
        <v>8400</v>
      </c>
      <c r="G36" t="s">
        <v>24</v>
      </c>
      <c r="H36" t="s">
        <v>1389</v>
      </c>
      <c r="I36" s="1" t="s">
        <v>1390</v>
      </c>
      <c r="J36" s="21" t="s">
        <v>1520</v>
      </c>
      <c r="K36" t="str">
        <f>VLOOKUP(Table10[[#This Row],[Company ID]],'[1]Coordinator Notes'!$B:$D,3,FALSE)</f>
        <v>Completion</v>
      </c>
      <c r="L36" s="12" t="b">
        <f t="shared" si="0"/>
        <v>1</v>
      </c>
      <c r="M36" s="26" t="b">
        <v>1</v>
      </c>
      <c r="N36" s="26" t="b">
        <v>1</v>
      </c>
      <c r="O36" s="26" t="b">
        <v>1</v>
      </c>
    </row>
    <row r="37" spans="1:15" ht="30" customHeight="1" x14ac:dyDescent="0.25">
      <c r="A37" t="s">
        <v>1275</v>
      </c>
      <c r="B37" s="2">
        <v>281785</v>
      </c>
      <c r="C37" t="s">
        <v>1391</v>
      </c>
      <c r="D37" s="1" t="s">
        <v>441</v>
      </c>
      <c r="E37" t="b">
        <v>0</v>
      </c>
      <c r="F37" s="3">
        <v>17700</v>
      </c>
      <c r="G37" t="s">
        <v>1175</v>
      </c>
      <c r="H37" t="s">
        <v>1392</v>
      </c>
      <c r="I37" s="1" t="s">
        <v>1393</v>
      </c>
      <c r="J37" s="21" t="s">
        <v>1521</v>
      </c>
      <c r="K37" t="str">
        <f>VLOOKUP(Table10[[#This Row],[Company ID]],'[1]Coordinator Notes'!$B:$D,3,FALSE)</f>
        <v>Received</v>
      </c>
      <c r="L37" s="12" t="str">
        <f t="shared" si="0"/>
        <v>RECEIVED</v>
      </c>
      <c r="M37" s="26" t="b">
        <v>0</v>
      </c>
      <c r="N37" s="26" t="b">
        <v>0</v>
      </c>
      <c r="O37" s="26" t="b">
        <v>1</v>
      </c>
    </row>
    <row r="38" spans="1:15" ht="30" customHeight="1" x14ac:dyDescent="0.25">
      <c r="A38" t="s">
        <v>1275</v>
      </c>
      <c r="B38" s="2">
        <v>401644</v>
      </c>
      <c r="C38" t="s">
        <v>1394</v>
      </c>
      <c r="D38" s="1" t="s">
        <v>587</v>
      </c>
      <c r="E38" t="b">
        <v>0</v>
      </c>
      <c r="F38" s="3">
        <v>66600</v>
      </c>
      <c r="G38" t="s">
        <v>1395</v>
      </c>
      <c r="H38" t="s">
        <v>1396</v>
      </c>
      <c r="I38" s="1" t="s">
        <v>1397</v>
      </c>
      <c r="J38" s="21" t="s">
        <v>1522</v>
      </c>
      <c r="K38" t="str">
        <f>VLOOKUP(Table10[[#This Row],[Company ID]],'[1]Coordinator Notes'!$B:$D,3,FALSE)</f>
        <v>Received</v>
      </c>
      <c r="L38" s="12" t="str">
        <f t="shared" ref="L38:L57" si="1">IF(COUNTIF(M38:O38, TRUE) =3,TRUE, IF(COUNTIF(M38:O38,TRUE)&gt;=1,"RECEIVED", FALSE))</f>
        <v>RECEIVED</v>
      </c>
      <c r="M38" s="26" t="b">
        <v>0</v>
      </c>
      <c r="N38" s="26" t="b">
        <v>1</v>
      </c>
      <c r="O38" s="26" t="b">
        <v>1</v>
      </c>
    </row>
    <row r="39" spans="1:15" ht="30" customHeight="1" x14ac:dyDescent="0.25">
      <c r="A39" t="s">
        <v>1275</v>
      </c>
      <c r="B39" s="2">
        <v>446493</v>
      </c>
      <c r="C39" t="s">
        <v>1398</v>
      </c>
      <c r="D39" s="1" t="s">
        <v>587</v>
      </c>
      <c r="E39" t="b">
        <v>0</v>
      </c>
      <c r="F39" s="3">
        <v>73900</v>
      </c>
      <c r="G39" t="s">
        <v>512</v>
      </c>
      <c r="H39" t="s">
        <v>1002</v>
      </c>
      <c r="I39" s="1" t="s">
        <v>1399</v>
      </c>
      <c r="J39" s="21" t="s">
        <v>1511</v>
      </c>
      <c r="K39" t="str">
        <f>VLOOKUP(Table10[[#This Row],[Company ID]],'[1]Coordinator Notes'!$B:$D,3,FALSE)</f>
        <v>Completion</v>
      </c>
      <c r="L39" s="12" t="b">
        <f t="shared" si="1"/>
        <v>1</v>
      </c>
      <c r="M39" s="26" t="b">
        <v>1</v>
      </c>
      <c r="N39" s="26" t="b">
        <v>1</v>
      </c>
      <c r="O39" s="26" t="b">
        <v>1</v>
      </c>
    </row>
    <row r="40" spans="1:15" ht="30" customHeight="1" x14ac:dyDescent="0.25">
      <c r="A40" t="s">
        <v>1275</v>
      </c>
      <c r="B40" s="2">
        <v>626925</v>
      </c>
      <c r="C40" t="s">
        <v>1400</v>
      </c>
      <c r="D40" s="1" t="s">
        <v>603</v>
      </c>
      <c r="E40" t="b">
        <v>0</v>
      </c>
      <c r="F40" s="3">
        <v>38600</v>
      </c>
      <c r="G40" t="s">
        <v>1401</v>
      </c>
      <c r="H40" t="s">
        <v>1402</v>
      </c>
      <c r="I40" s="1" t="s">
        <v>1403</v>
      </c>
      <c r="J40" s="21" t="s">
        <v>1523</v>
      </c>
      <c r="K40" t="str">
        <f>VLOOKUP(Table10[[#This Row],[Company ID]],'[1]Coordinator Notes'!$B:$D,3,FALSE)</f>
        <v>Delayed</v>
      </c>
      <c r="L40" s="12" t="b">
        <f t="shared" si="1"/>
        <v>0</v>
      </c>
      <c r="M40" s="26" t="b">
        <v>0</v>
      </c>
      <c r="N40" s="26" t="b">
        <v>0</v>
      </c>
      <c r="O40" s="26" t="b">
        <v>0</v>
      </c>
    </row>
    <row r="41" spans="1:15" ht="30" customHeight="1" x14ac:dyDescent="0.25">
      <c r="A41" t="s">
        <v>1275</v>
      </c>
      <c r="B41" s="2">
        <v>125941</v>
      </c>
      <c r="C41" t="s">
        <v>1404</v>
      </c>
      <c r="D41" s="1" t="s">
        <v>603</v>
      </c>
      <c r="E41" t="b">
        <v>0</v>
      </c>
      <c r="F41" s="3">
        <v>2000</v>
      </c>
      <c r="G41" t="s">
        <v>1405</v>
      </c>
      <c r="H41" s="2" t="s">
        <v>1406</v>
      </c>
      <c r="I41" s="1" t="s">
        <v>1407</v>
      </c>
      <c r="J41" s="21" t="s">
        <v>1524</v>
      </c>
      <c r="K41" t="str">
        <f>VLOOKUP(Table10[[#This Row],[Company ID]],'[1]Coordinator Notes'!$B:$D,3,FALSE)</f>
        <v>Completion</v>
      </c>
      <c r="L41" s="12" t="b">
        <f t="shared" si="1"/>
        <v>1</v>
      </c>
      <c r="M41" s="26" t="b">
        <v>1</v>
      </c>
      <c r="N41" s="26" t="b">
        <v>1</v>
      </c>
      <c r="O41" s="26" t="b">
        <v>1</v>
      </c>
    </row>
    <row r="42" spans="1:15" ht="30" customHeight="1" x14ac:dyDescent="0.25">
      <c r="A42" t="s">
        <v>1275</v>
      </c>
      <c r="B42" s="2">
        <v>972249</v>
      </c>
      <c r="C42" t="s">
        <v>1408</v>
      </c>
      <c r="D42" s="1" t="s">
        <v>603</v>
      </c>
      <c r="E42" t="b">
        <v>0</v>
      </c>
      <c r="F42" s="3">
        <v>71800</v>
      </c>
      <c r="G42" t="s">
        <v>1409</v>
      </c>
      <c r="H42" s="2" t="s">
        <v>1410</v>
      </c>
      <c r="I42" s="1" t="s">
        <v>1411</v>
      </c>
      <c r="J42" s="21" t="s">
        <v>1525</v>
      </c>
      <c r="K42" t="str">
        <f>VLOOKUP(Table10[[#This Row],[Company ID]],'[1]Coordinator Notes'!$B:$D,3,FALSE)</f>
        <v>Delayed</v>
      </c>
      <c r="L42" s="12" t="b">
        <f t="shared" si="1"/>
        <v>0</v>
      </c>
      <c r="M42" s="26" t="b">
        <v>0</v>
      </c>
      <c r="N42" s="26" t="b">
        <v>0</v>
      </c>
      <c r="O42" s="26" t="b">
        <v>0</v>
      </c>
    </row>
    <row r="43" spans="1:15" ht="30" customHeight="1" x14ac:dyDescent="0.25">
      <c r="A43" t="s">
        <v>1275</v>
      </c>
      <c r="B43" s="2">
        <v>644562</v>
      </c>
      <c r="C43" t="s">
        <v>1412</v>
      </c>
      <c r="D43" s="1" t="s">
        <v>603</v>
      </c>
      <c r="E43" t="b">
        <v>0</v>
      </c>
      <c r="F43" s="3">
        <v>36600</v>
      </c>
      <c r="G43" t="s">
        <v>1413</v>
      </c>
      <c r="H43" s="2" t="s">
        <v>1414</v>
      </c>
      <c r="I43" s="1" t="s">
        <v>1415</v>
      </c>
      <c r="J43" s="21" t="s">
        <v>1526</v>
      </c>
      <c r="K43" t="str">
        <f>VLOOKUP(Table10[[#This Row],[Company ID]],'[1]Coordinator Notes'!$B:$D,3,FALSE)</f>
        <v>Received</v>
      </c>
      <c r="L43" s="12" t="str">
        <f t="shared" si="1"/>
        <v>RECEIVED</v>
      </c>
      <c r="M43" s="26" t="b">
        <v>0</v>
      </c>
      <c r="N43" s="26" t="b">
        <v>1</v>
      </c>
      <c r="O43" s="26" t="b">
        <v>0</v>
      </c>
    </row>
    <row r="44" spans="1:15" ht="30" customHeight="1" x14ac:dyDescent="0.25">
      <c r="A44" t="s">
        <v>1275</v>
      </c>
      <c r="B44" s="2">
        <v>673141</v>
      </c>
      <c r="C44" t="s">
        <v>1416</v>
      </c>
      <c r="D44" s="1" t="s">
        <v>446</v>
      </c>
      <c r="E44" t="b">
        <v>0</v>
      </c>
      <c r="F44" s="3">
        <v>2300</v>
      </c>
      <c r="G44" t="s">
        <v>1417</v>
      </c>
      <c r="H44" s="2" t="s">
        <v>1418</v>
      </c>
      <c r="I44" s="1" t="s">
        <v>1419</v>
      </c>
      <c r="J44" s="21" t="s">
        <v>1527</v>
      </c>
      <c r="K44" t="str">
        <f>VLOOKUP(Table10[[#This Row],[Company ID]],'[1]Coordinator Notes'!$B:$D,3,FALSE)</f>
        <v>Received</v>
      </c>
      <c r="L44" s="12" t="str">
        <f t="shared" si="1"/>
        <v>RECEIVED</v>
      </c>
      <c r="M44" s="26" t="b">
        <v>1</v>
      </c>
      <c r="N44" s="26" t="b">
        <v>0</v>
      </c>
      <c r="O44" s="26" t="b">
        <v>0</v>
      </c>
    </row>
    <row r="45" spans="1:15" ht="30" customHeight="1" x14ac:dyDescent="0.25">
      <c r="A45" t="s">
        <v>1275</v>
      </c>
      <c r="B45" s="2">
        <v>823262</v>
      </c>
      <c r="C45" t="s">
        <v>1420</v>
      </c>
      <c r="D45" s="1" t="s">
        <v>446</v>
      </c>
      <c r="E45" t="b">
        <v>0</v>
      </c>
      <c r="F45" s="3">
        <v>14000</v>
      </c>
      <c r="G45" t="s">
        <v>1401</v>
      </c>
      <c r="H45" s="2" t="s">
        <v>1421</v>
      </c>
      <c r="I45" s="1" t="s">
        <v>1422</v>
      </c>
      <c r="J45" s="21" t="s">
        <v>1528</v>
      </c>
      <c r="K45" t="str">
        <f>VLOOKUP(Table10[[#This Row],[Company ID]],'[1]Coordinator Notes'!$B:$D,3,FALSE)</f>
        <v>Received</v>
      </c>
      <c r="L45" s="12" t="str">
        <f t="shared" si="1"/>
        <v>RECEIVED</v>
      </c>
      <c r="M45" s="26" t="b">
        <v>1</v>
      </c>
      <c r="N45" s="26" t="b">
        <v>0</v>
      </c>
      <c r="O45" s="26" t="b">
        <v>0</v>
      </c>
    </row>
    <row r="46" spans="1:15" ht="30" customHeight="1" x14ac:dyDescent="0.25">
      <c r="A46" t="s">
        <v>1275</v>
      </c>
      <c r="B46" s="2">
        <v>527821</v>
      </c>
      <c r="C46" t="s">
        <v>1423</v>
      </c>
      <c r="D46" s="1" t="s">
        <v>446</v>
      </c>
      <c r="E46" t="b">
        <v>0</v>
      </c>
      <c r="F46" s="3">
        <v>34300</v>
      </c>
      <c r="G46" t="s">
        <v>1424</v>
      </c>
      <c r="H46" s="2" t="s">
        <v>1425</v>
      </c>
      <c r="I46" s="1" t="s">
        <v>1426</v>
      </c>
      <c r="J46" s="21" t="s">
        <v>1529</v>
      </c>
      <c r="K46" t="str">
        <f>VLOOKUP(Table10[[#This Row],[Company ID]],'[1]Coordinator Notes'!$B:$D,3,FALSE)</f>
        <v>Poor Communication</v>
      </c>
      <c r="L46" s="12" t="b">
        <f t="shared" si="1"/>
        <v>0</v>
      </c>
      <c r="M46" s="26" t="b">
        <v>0</v>
      </c>
      <c r="N46" s="26" t="b">
        <v>0</v>
      </c>
      <c r="O46" s="26" t="b">
        <v>0</v>
      </c>
    </row>
    <row r="47" spans="1:15" ht="30" customHeight="1" x14ac:dyDescent="0.25">
      <c r="A47" t="s">
        <v>1275</v>
      </c>
      <c r="B47" s="2">
        <v>793342</v>
      </c>
      <c r="C47" t="s">
        <v>1427</v>
      </c>
      <c r="D47" s="1" t="s">
        <v>622</v>
      </c>
      <c r="E47" t="b">
        <v>0</v>
      </c>
      <c r="F47" s="3">
        <v>91500</v>
      </c>
      <c r="G47" t="s">
        <v>1428</v>
      </c>
      <c r="H47" s="2" t="s">
        <v>1429</v>
      </c>
      <c r="I47" s="1" t="s">
        <v>1430</v>
      </c>
      <c r="J47" s="21" t="s">
        <v>1530</v>
      </c>
      <c r="K47" t="str">
        <f>VLOOKUP(Table10[[#This Row],[Company ID]],'[1]Coordinator Notes'!$B:$D,3,FALSE)</f>
        <v>Completion</v>
      </c>
      <c r="L47" s="12" t="b">
        <f t="shared" si="1"/>
        <v>1</v>
      </c>
      <c r="M47" s="26" t="b">
        <v>1</v>
      </c>
      <c r="N47" s="26" t="b">
        <v>1</v>
      </c>
      <c r="O47" s="26" t="b">
        <v>1</v>
      </c>
    </row>
    <row r="48" spans="1:15" ht="30" customHeight="1" x14ac:dyDescent="0.25">
      <c r="A48" t="s">
        <v>1275</v>
      </c>
      <c r="B48" s="2">
        <v>674421</v>
      </c>
      <c r="C48" t="s">
        <v>1431</v>
      </c>
      <c r="D48" s="1" t="s">
        <v>230</v>
      </c>
      <c r="E48" t="b">
        <v>0</v>
      </c>
      <c r="F48" s="3">
        <v>36700</v>
      </c>
      <c r="G48" t="s">
        <v>1432</v>
      </c>
      <c r="H48" s="2" t="s">
        <v>304</v>
      </c>
      <c r="I48" s="1" t="s">
        <v>1433</v>
      </c>
      <c r="J48" s="21" t="s">
        <v>1531</v>
      </c>
      <c r="K48" t="str">
        <f>VLOOKUP(Table10[[#This Row],[Company ID]],'[1]Coordinator Notes'!$B:$D,3,FALSE)</f>
        <v>Completion</v>
      </c>
      <c r="L48" s="12" t="b">
        <f t="shared" si="1"/>
        <v>1</v>
      </c>
      <c r="M48" s="26" t="b">
        <v>1</v>
      </c>
      <c r="N48" s="26" t="b">
        <v>1</v>
      </c>
      <c r="O48" s="26" t="b">
        <v>1</v>
      </c>
    </row>
    <row r="49" spans="1:15" ht="30" customHeight="1" x14ac:dyDescent="0.25">
      <c r="A49" t="s">
        <v>1275</v>
      </c>
      <c r="B49" s="2">
        <v>944285</v>
      </c>
      <c r="C49" t="s">
        <v>1434</v>
      </c>
      <c r="D49" s="1" t="s">
        <v>230</v>
      </c>
      <c r="E49" t="b">
        <v>0</v>
      </c>
      <c r="F49" s="3">
        <v>43600</v>
      </c>
      <c r="G49" t="s">
        <v>1435</v>
      </c>
      <c r="H49" s="2" t="s">
        <v>1436</v>
      </c>
      <c r="I49" s="1" t="s">
        <v>1437</v>
      </c>
      <c r="J49" s="21" t="s">
        <v>1532</v>
      </c>
      <c r="K49" t="str">
        <f>VLOOKUP(Table10[[#This Row],[Company ID]],'[1]Coordinator Notes'!$B:$D,3,FALSE)</f>
        <v>Poor Communication</v>
      </c>
      <c r="L49" s="12" t="b">
        <f t="shared" si="1"/>
        <v>0</v>
      </c>
      <c r="M49" s="26" t="b">
        <v>0</v>
      </c>
      <c r="N49" s="26" t="b">
        <v>0</v>
      </c>
      <c r="O49" s="26" t="b">
        <v>0</v>
      </c>
    </row>
    <row r="50" spans="1:15" ht="30" customHeight="1" x14ac:dyDescent="0.25">
      <c r="A50" t="s">
        <v>1275</v>
      </c>
      <c r="B50" s="2">
        <v>109727</v>
      </c>
      <c r="C50" t="s">
        <v>1438</v>
      </c>
      <c r="D50" s="1" t="s">
        <v>230</v>
      </c>
      <c r="E50" t="b">
        <v>0</v>
      </c>
      <c r="F50" s="3">
        <v>30300</v>
      </c>
      <c r="G50" t="s">
        <v>1439</v>
      </c>
      <c r="H50" s="2" t="s">
        <v>1440</v>
      </c>
      <c r="I50" s="1" t="s">
        <v>1441</v>
      </c>
      <c r="J50" s="21" t="s">
        <v>1533</v>
      </c>
      <c r="K50" t="str">
        <f>VLOOKUP(Table10[[#This Row],[Company ID]],'[1]Coordinator Notes'!$B:$D,3,FALSE)</f>
        <v>Received</v>
      </c>
      <c r="L50" s="12" t="str">
        <f t="shared" si="1"/>
        <v>RECEIVED</v>
      </c>
      <c r="M50" s="26" t="b">
        <v>1</v>
      </c>
      <c r="N50" s="26" t="b">
        <v>0</v>
      </c>
      <c r="O50" s="26" t="b">
        <v>0</v>
      </c>
    </row>
    <row r="51" spans="1:15" ht="30" customHeight="1" x14ac:dyDescent="0.25">
      <c r="A51" t="s">
        <v>1275</v>
      </c>
      <c r="B51" s="2">
        <v>602421</v>
      </c>
      <c r="C51" t="s">
        <v>1442</v>
      </c>
      <c r="D51" s="1" t="s">
        <v>230</v>
      </c>
      <c r="E51" t="b">
        <v>0</v>
      </c>
      <c r="F51" s="3">
        <v>3700</v>
      </c>
      <c r="G51" t="s">
        <v>37</v>
      </c>
      <c r="H51" s="2" t="s">
        <v>1443</v>
      </c>
      <c r="I51" s="1" t="s">
        <v>1444</v>
      </c>
      <c r="J51" s="21" t="s">
        <v>1534</v>
      </c>
      <c r="K51" t="str">
        <f>VLOOKUP(Table10[[#This Row],[Company ID]],'[1]Coordinator Notes'!$B:$D,3,FALSE)</f>
        <v>Delayed</v>
      </c>
      <c r="L51" s="12" t="b">
        <f t="shared" si="1"/>
        <v>0</v>
      </c>
      <c r="M51" s="26" t="b">
        <v>0</v>
      </c>
      <c r="N51" s="26" t="b">
        <v>0</v>
      </c>
      <c r="O51" s="26" t="b">
        <v>0</v>
      </c>
    </row>
    <row r="52" spans="1:15" ht="30" customHeight="1" x14ac:dyDescent="0.25">
      <c r="A52" t="s">
        <v>1275</v>
      </c>
      <c r="B52" s="2">
        <v>177000</v>
      </c>
      <c r="C52" t="s">
        <v>1445</v>
      </c>
      <c r="D52" s="1" t="s">
        <v>230</v>
      </c>
      <c r="E52" t="b">
        <v>0</v>
      </c>
      <c r="F52" s="3">
        <v>62100</v>
      </c>
      <c r="G52" t="s">
        <v>1446</v>
      </c>
      <c r="H52" s="2" t="s">
        <v>1447</v>
      </c>
      <c r="I52" s="1" t="s">
        <v>1448</v>
      </c>
      <c r="J52" s="21" t="s">
        <v>1535</v>
      </c>
      <c r="K52" t="str">
        <f>VLOOKUP(Table10[[#This Row],[Company ID]],'[1]Coordinator Notes'!$B:$D,3,FALSE)</f>
        <v>Poor Communication</v>
      </c>
      <c r="L52" s="12" t="b">
        <f t="shared" si="1"/>
        <v>0</v>
      </c>
      <c r="M52" s="26" t="b">
        <v>0</v>
      </c>
      <c r="N52" s="26" t="b">
        <v>0</v>
      </c>
      <c r="O52" s="26" t="b">
        <v>0</v>
      </c>
    </row>
    <row r="53" spans="1:15" ht="30" customHeight="1" x14ac:dyDescent="0.25">
      <c r="A53" t="s">
        <v>1275</v>
      </c>
      <c r="B53" s="2">
        <v>812390</v>
      </c>
      <c r="C53" t="s">
        <v>1449</v>
      </c>
      <c r="D53" s="1" t="s">
        <v>647</v>
      </c>
      <c r="E53" t="b">
        <v>0</v>
      </c>
      <c r="F53" s="3">
        <v>39500</v>
      </c>
      <c r="G53" t="s">
        <v>923</v>
      </c>
      <c r="H53" s="2" t="s">
        <v>1450</v>
      </c>
      <c r="I53" s="1" t="s">
        <v>1451</v>
      </c>
      <c r="J53" s="21" t="s">
        <v>1505</v>
      </c>
      <c r="K53" t="str">
        <f>VLOOKUP(Table10[[#This Row],[Company ID]],'[1]Coordinator Notes'!$B:$D,3,FALSE)</f>
        <v>Received</v>
      </c>
      <c r="L53" s="12" t="str">
        <f t="shared" si="1"/>
        <v>RECEIVED</v>
      </c>
      <c r="M53" s="26" t="b">
        <v>1</v>
      </c>
      <c r="N53" s="26" t="b">
        <v>0</v>
      </c>
      <c r="O53" s="26" t="b">
        <v>1</v>
      </c>
    </row>
    <row r="54" spans="1:15" ht="30" customHeight="1" x14ac:dyDescent="0.25">
      <c r="A54" t="s">
        <v>1275</v>
      </c>
      <c r="B54" s="2">
        <v>838892</v>
      </c>
      <c r="C54" t="s">
        <v>1452</v>
      </c>
      <c r="D54" s="1" t="s">
        <v>647</v>
      </c>
      <c r="E54" t="b">
        <v>0</v>
      </c>
      <c r="F54" s="3">
        <v>30800</v>
      </c>
      <c r="G54" t="s">
        <v>1453</v>
      </c>
      <c r="H54" s="2" t="s">
        <v>1454</v>
      </c>
      <c r="I54" s="1" t="s">
        <v>1455</v>
      </c>
      <c r="J54" s="21" t="s">
        <v>1536</v>
      </c>
      <c r="K54" t="str">
        <f>VLOOKUP(Table10[[#This Row],[Company ID]],'[1]Coordinator Notes'!$B:$D,3,FALSE)</f>
        <v>Received</v>
      </c>
      <c r="L54" s="12" t="str">
        <f t="shared" si="1"/>
        <v>RECEIVED</v>
      </c>
      <c r="M54" s="26" t="b">
        <v>1</v>
      </c>
      <c r="N54" s="26" t="b">
        <v>0</v>
      </c>
      <c r="O54" s="26" t="b">
        <v>1</v>
      </c>
    </row>
    <row r="55" spans="1:15" ht="30" customHeight="1" x14ac:dyDescent="0.25">
      <c r="A55" t="s">
        <v>1275</v>
      </c>
      <c r="B55" s="2">
        <v>852151</v>
      </c>
      <c r="C55" t="s">
        <v>1456</v>
      </c>
      <c r="D55" s="1" t="s">
        <v>647</v>
      </c>
      <c r="E55" t="b">
        <v>0</v>
      </c>
      <c r="F55" s="3">
        <v>32000</v>
      </c>
      <c r="G55" t="s">
        <v>1457</v>
      </c>
      <c r="H55" s="2" t="s">
        <v>1458</v>
      </c>
      <c r="I55" s="1" t="s">
        <v>1459</v>
      </c>
      <c r="J55" s="21" t="s">
        <v>1537</v>
      </c>
      <c r="K55" t="str">
        <f>VLOOKUP(Table10[[#This Row],[Company ID]],'[1]Coordinator Notes'!$B:$D,3,FALSE)</f>
        <v>Received</v>
      </c>
      <c r="L55" s="12" t="str">
        <f t="shared" si="1"/>
        <v>RECEIVED</v>
      </c>
      <c r="M55" s="26" t="b">
        <v>0</v>
      </c>
      <c r="N55" s="26" t="b">
        <v>0</v>
      </c>
      <c r="O55" s="26" t="b">
        <v>1</v>
      </c>
    </row>
    <row r="56" spans="1:15" ht="30" customHeight="1" x14ac:dyDescent="0.25">
      <c r="A56" t="s">
        <v>1275</v>
      </c>
      <c r="B56" s="2">
        <v>714496</v>
      </c>
      <c r="C56" t="s">
        <v>1460</v>
      </c>
      <c r="D56" s="1" t="s">
        <v>647</v>
      </c>
      <c r="E56" t="b">
        <v>0</v>
      </c>
      <c r="F56" s="3">
        <v>14100</v>
      </c>
      <c r="G56" t="s">
        <v>1461</v>
      </c>
      <c r="H56" s="2" t="s">
        <v>1462</v>
      </c>
      <c r="I56" s="1" t="s">
        <v>1463</v>
      </c>
      <c r="J56" s="21" t="s">
        <v>1538</v>
      </c>
      <c r="K56" t="str">
        <f>VLOOKUP(Table10[[#This Row],[Company ID]],'[1]Coordinator Notes'!$B:$D,3,FALSE)</f>
        <v>Received</v>
      </c>
      <c r="L56" s="12" t="str">
        <f t="shared" si="1"/>
        <v>RECEIVED</v>
      </c>
      <c r="M56" s="26" t="b">
        <v>0</v>
      </c>
      <c r="N56" s="26" t="b">
        <v>1</v>
      </c>
      <c r="O56" s="26" t="b">
        <v>1</v>
      </c>
    </row>
    <row r="57" spans="1:15" ht="30" customHeight="1" x14ac:dyDescent="0.25">
      <c r="A57" t="s">
        <v>1275</v>
      </c>
      <c r="B57" s="2">
        <v>641959</v>
      </c>
      <c r="C57" t="s">
        <v>1464</v>
      </c>
      <c r="D57" s="1" t="s">
        <v>647</v>
      </c>
      <c r="E57" t="b">
        <v>0</v>
      </c>
      <c r="F57" s="3">
        <v>39100</v>
      </c>
      <c r="G57" t="s">
        <v>1465</v>
      </c>
      <c r="H57" s="2" t="s">
        <v>1466</v>
      </c>
      <c r="I57" s="1" t="s">
        <v>1467</v>
      </c>
      <c r="J57" s="21" t="s">
        <v>1539</v>
      </c>
      <c r="K57" t="str">
        <f>VLOOKUP(Table10[[#This Row],[Company ID]],'[1]Coordinator Notes'!$B:$D,3,FALSE)</f>
        <v>Received</v>
      </c>
      <c r="L57" s="12" t="str">
        <f t="shared" si="1"/>
        <v>RECEIVED</v>
      </c>
      <c r="M57" s="26" t="b">
        <v>1</v>
      </c>
      <c r="N57" s="26" t="b">
        <v>0</v>
      </c>
      <c r="O57" s="26" t="b">
        <v>1</v>
      </c>
    </row>
  </sheetData>
  <conditionalFormatting sqref="L6:L57">
    <cfRule type="containsText" dxfId="1" priority="1" operator="containsText" text="RECEIVED">
      <formula>NOT(ISERROR(SEARCH("RECEIVED",L6)))</formula>
    </cfRule>
    <cfRule type="containsText" dxfId="0" priority="2" operator="containsText" text="TRUE">
      <formula>NOT(ISERROR(SEARCH("TRUE",L6)))</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KPI Dashboard</vt:lpstr>
      <vt:lpstr>Pivot Tab</vt:lpstr>
      <vt:lpstr>Dash Support Sheet</vt:lpstr>
      <vt:lpstr>Assignments</vt:lpstr>
      <vt:lpstr>Sheet9</vt:lpstr>
      <vt:lpstr>Marisol Reyes</vt:lpstr>
      <vt:lpstr>Trevor Nguyen</vt:lpstr>
      <vt:lpstr>Priya Kapoor</vt:lpstr>
      <vt:lpstr>Damon Fields</vt:lpstr>
      <vt:lpstr>Yuki Tanaka</vt:lpstr>
      <vt:lpstr>Andre Boseman</vt:lpstr>
      <vt:lpstr>Hannah Whitlock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Witherspoon</cp:lastModifiedBy>
  <dcterms:created xsi:type="dcterms:W3CDTF">2026-09-19T09:24:46Z</dcterms:created>
  <dcterms:modified xsi:type="dcterms:W3CDTF">2026-09-25T13:56:15Z</dcterms:modified>
</cp:coreProperties>
</file>